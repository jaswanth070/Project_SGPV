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swa\Documents\SGPV\4th SEM\"/>
    </mc:Choice>
  </mc:AlternateContent>
  <xr:revisionPtr revIDLastSave="0" documentId="13_ncr:1_{A9EDE2D3-D204-4084-90B4-5F6AD28FA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_Sheet" sheetId="1" r:id="rId1"/>
    <sheet name="Pass_Percentage" sheetId="2" r:id="rId2"/>
    <sheet name="Sub_Percentage" sheetId="3" r:id="rId3"/>
    <sheet name="CME_1" sheetId="4" r:id="rId4"/>
    <sheet name="CME_2" sheetId="5" r:id="rId5"/>
    <sheet name="Backlogs List" sheetId="6" r:id="rId6"/>
  </sheets>
  <definedNames>
    <definedName name="_xlnm._FilterDatabase" localSheetId="0" hidden="1">Marks_Sheet!$L$1:$L$129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0" i="2"/>
  <c r="C9" i="2"/>
  <c r="O2" i="5"/>
  <c r="O3" i="5"/>
  <c r="O4" i="5"/>
  <c r="O5" i="5"/>
  <c r="O6" i="5"/>
  <c r="N2" i="5"/>
  <c r="N3" i="5"/>
  <c r="N4" i="5"/>
  <c r="N5" i="5"/>
  <c r="N6" i="5"/>
  <c r="C3" i="5"/>
  <c r="C2" i="5"/>
  <c r="O2" i="4"/>
  <c r="O3" i="4"/>
  <c r="O4" i="4"/>
  <c r="O5" i="4"/>
  <c r="O6" i="4"/>
  <c r="N2" i="4"/>
  <c r="N3" i="4"/>
  <c r="N4" i="4"/>
  <c r="N5" i="4"/>
  <c r="N6" i="4"/>
  <c r="C2" i="4"/>
  <c r="C3" i="4"/>
  <c r="D6" i="3"/>
  <c r="C6" i="3"/>
  <c r="D5" i="3"/>
  <c r="C5" i="3"/>
  <c r="D4" i="3"/>
  <c r="C4" i="3"/>
  <c r="D3" i="3"/>
  <c r="C3" i="3"/>
  <c r="D2" i="3"/>
  <c r="C2" i="3"/>
  <c r="C3" i="2"/>
  <c r="C2" i="2"/>
</calcChain>
</file>

<file path=xl/sharedStrings.xml><?xml version="1.0" encoding="utf-8"?>
<sst xmlns="http://schemas.openxmlformats.org/spreadsheetml/2006/main" count="490" uniqueCount="276">
  <si>
    <t>Pin_No</t>
  </si>
  <si>
    <t>Name</t>
  </si>
  <si>
    <t>Maths</t>
  </si>
  <si>
    <t>WT</t>
  </si>
  <si>
    <t>CO</t>
  </si>
  <si>
    <t>C++</t>
  </si>
  <si>
    <t>CN</t>
  </si>
  <si>
    <t>Total</t>
  </si>
  <si>
    <t>Result</t>
  </si>
  <si>
    <t>21596-CM-001</t>
  </si>
  <si>
    <t>ADARI MAHITHASRI</t>
  </si>
  <si>
    <t>PASS</t>
  </si>
  <si>
    <t>21596-CM-002</t>
  </si>
  <si>
    <t>ADDIPALLI KANAKA MAHALAKSHMI</t>
  </si>
  <si>
    <t>21596-CM-004</t>
  </si>
  <si>
    <t>ALLAM VAMSI</t>
  </si>
  <si>
    <t>21596-CM-005</t>
  </si>
  <si>
    <t>AVANAPU GEETHA</t>
  </si>
  <si>
    <t>21596-CM-006</t>
  </si>
  <si>
    <t>BADAGALA MOULIKA</t>
  </si>
  <si>
    <t>21596-CM-007</t>
  </si>
  <si>
    <t>BANALA RAVINDRA</t>
  </si>
  <si>
    <t>21596-CM-008</t>
  </si>
  <si>
    <t>BANDARU SREERAM</t>
  </si>
  <si>
    <t>21596-CM-009</t>
  </si>
  <si>
    <t>BANDARU TEJA</t>
  </si>
  <si>
    <t>PROMOTED</t>
  </si>
  <si>
    <t>21596-CM-010</t>
  </si>
  <si>
    <t>BATHINA SHANMUKH RAJU</t>
  </si>
  <si>
    <t>21596-CM-011</t>
  </si>
  <si>
    <t>BHEESETTY LEKHANA SRI</t>
  </si>
  <si>
    <t>21596-CM-012</t>
  </si>
  <si>
    <t>BONDA SURESH</t>
  </si>
  <si>
    <t>21596-CM-013</t>
  </si>
  <si>
    <t>BONUGU VAMSHI</t>
  </si>
  <si>
    <t>21596-CM-014</t>
  </si>
  <si>
    <t>BOYI SAI SIREESHA</t>
  </si>
  <si>
    <t>21596-CM-015</t>
  </si>
  <si>
    <t>CHADUVULA CHAITANYA LAKSHMI</t>
  </si>
  <si>
    <t>21596-CM-016</t>
  </si>
  <si>
    <t>CHIKKALA PAVITHRA</t>
  </si>
  <si>
    <t>21596-CM-017</t>
  </si>
  <si>
    <t>CHINNAM KIRANMAI</t>
  </si>
  <si>
    <t>21596-CM-018</t>
  </si>
  <si>
    <t>CHINNI GOWTHAMI</t>
  </si>
  <si>
    <t>21596-CM-019</t>
  </si>
  <si>
    <t>CHINTAKAYALA SANJAY</t>
  </si>
  <si>
    <t>21596-CM-020</t>
  </si>
  <si>
    <t>DADI ROHIT</t>
  </si>
  <si>
    <t>21596-CM-021</t>
  </si>
  <si>
    <t>DAVALA MAHESH</t>
  </si>
  <si>
    <t>21596-CM-022</t>
  </si>
  <si>
    <t>DEVARASETTI LEELA MOHAN RAO</t>
  </si>
  <si>
    <t>21596-CM-023</t>
  </si>
  <si>
    <t>DARAPU HARIKA</t>
  </si>
  <si>
    <t>21596-CM-024</t>
  </si>
  <si>
    <t>DHARMALA VARAHA VENKATA LAKSHMI BHARGAVI</t>
  </si>
  <si>
    <t>21596-CM-025</t>
  </si>
  <si>
    <t>DINESH JENA</t>
  </si>
  <si>
    <t>21596-CM-026</t>
  </si>
  <si>
    <t>DONGA LOHITH KUMAR</t>
  </si>
  <si>
    <t>21596-CM-027</t>
  </si>
  <si>
    <t>DUDDUPUDI GANESH</t>
  </si>
  <si>
    <t>21596-CM-028</t>
  </si>
  <si>
    <t>DUVVARAPU VAMSI RAM</t>
  </si>
  <si>
    <t>21596-CM-029</t>
  </si>
  <si>
    <t>EGALA UMA</t>
  </si>
  <si>
    <t>21596-CM-030</t>
  </si>
  <si>
    <t>ELUSURI RAGHURAM</t>
  </si>
  <si>
    <t>21596-CM-031</t>
  </si>
  <si>
    <t>ESAKALAPALLI PAVAN SAI VARMA</t>
  </si>
  <si>
    <t>21596-CM-032</t>
  </si>
  <si>
    <t>ESURU TEJESH</t>
  </si>
  <si>
    <t>21596-CM-034</t>
  </si>
  <si>
    <t>GANTA NANDINI</t>
  </si>
  <si>
    <t>21596-CM-035</t>
  </si>
  <si>
    <t>GAYATRI BEHERA</t>
  </si>
  <si>
    <t>21596-CM-036</t>
  </si>
  <si>
    <t>GORLE LOKSHMITHA</t>
  </si>
  <si>
    <t>21596-CM-037</t>
  </si>
  <si>
    <t>GUDIYA PADMA</t>
  </si>
  <si>
    <t>21596-CM-038</t>
  </si>
  <si>
    <t>GUNDA RAGHAVENDRA</t>
  </si>
  <si>
    <t>21596-CM-039</t>
  </si>
  <si>
    <t>GURRAM SIMHADRI</t>
  </si>
  <si>
    <t>21596-CM-040</t>
  </si>
  <si>
    <t>GUTTULA DIVYA</t>
  </si>
  <si>
    <t>21596-CM-041</t>
  </si>
  <si>
    <t>JAJIMOGGALA SRAVANTHI</t>
  </si>
  <si>
    <t>21596-CM-042</t>
  </si>
  <si>
    <t>JAMI THARUN</t>
  </si>
  <si>
    <t>21596-CM-043</t>
  </si>
  <si>
    <t>JYOTHI YELAMANCHILI</t>
  </si>
  <si>
    <t>21596-CM-044</t>
  </si>
  <si>
    <t>JYOTHSNA SRI NAMBARI</t>
  </si>
  <si>
    <t>21596-CM-045</t>
  </si>
  <si>
    <t>KAAMANA MERCY SIRISHA</t>
  </si>
  <si>
    <t>21596-CM-046</t>
  </si>
  <si>
    <t>KADIYALA TARUN SAI PRADEEP KUMAR</t>
  </si>
  <si>
    <t>21596-CM-047</t>
  </si>
  <si>
    <t>KAGITALA ROHITH  SRINIVAS REDDY</t>
  </si>
  <si>
    <t>21596-CM-048</t>
  </si>
  <si>
    <t>KAGITHALA MOHAN SAI</t>
  </si>
  <si>
    <t>21596-CM-049</t>
  </si>
  <si>
    <t>KALLA MOHAN SAI</t>
  </si>
  <si>
    <t>21596-CM-050</t>
  </si>
  <si>
    <t>KALLURI SAI VIKAS RAM</t>
  </si>
  <si>
    <t>21596-CM-051</t>
  </si>
  <si>
    <t>KARRI SAI</t>
  </si>
  <si>
    <t>21596-CM-052</t>
  </si>
  <si>
    <t>KARRI VARDHAN</t>
  </si>
  <si>
    <t>21596-CM-053</t>
  </si>
  <si>
    <t>KASARAPU SIDHARDHA</t>
  </si>
  <si>
    <t>21596-CM-054</t>
  </si>
  <si>
    <t>KATAKOTA HEMANTH KUMAR</t>
  </si>
  <si>
    <t>21596-CM-055</t>
  </si>
  <si>
    <t>KILAPARTHI SANJAY KUMAR</t>
  </si>
  <si>
    <t>21596-CM-057</t>
  </si>
  <si>
    <t>KODA PRASANTHI LAKSHMI</t>
  </si>
  <si>
    <t>21596-CM-058</t>
  </si>
  <si>
    <t>KOLAGANI KISHORE</t>
  </si>
  <si>
    <t>21596-CM-059</t>
  </si>
  <si>
    <t>KOLANATI SRUTHI</t>
  </si>
  <si>
    <t>21596-CM-060</t>
  </si>
  <si>
    <t>KOLLIPARA S L K N VAISHNAVI</t>
  </si>
  <si>
    <t>21596-CM-061</t>
  </si>
  <si>
    <t>KONATHALA VARSHITHA</t>
  </si>
  <si>
    <t>21596-CM-062</t>
  </si>
  <si>
    <t>KONCHADA KAMESWARARAO</t>
  </si>
  <si>
    <t>21596-CM-063</t>
  </si>
  <si>
    <t>KONETI GANESH NAIDU</t>
  </si>
  <si>
    <t>21596-CM-064</t>
  </si>
  <si>
    <t>KOPPADA NAVYA SRI</t>
  </si>
  <si>
    <t>21596-CM-065</t>
  </si>
  <si>
    <t>KORADA THARUN</t>
  </si>
  <si>
    <t>21596-CM-066</t>
  </si>
  <si>
    <t>KORLANA PURNIMA</t>
  </si>
  <si>
    <t>21596-CM-068</t>
  </si>
  <si>
    <t>LADI SURAJ KUMAR</t>
  </si>
  <si>
    <t>21596-CM-069</t>
  </si>
  <si>
    <t>MADHABATHULA ROHITH</t>
  </si>
  <si>
    <t>21596-CM-070</t>
  </si>
  <si>
    <t>MADIYA JASWANTH</t>
  </si>
  <si>
    <t>21596-CM-071</t>
  </si>
  <si>
    <t>MALLA SAI VENKATA PYDI  KRISHNA MURTHI</t>
  </si>
  <si>
    <t>21596-CM-072</t>
  </si>
  <si>
    <t>MANAPURAM HARINI</t>
  </si>
  <si>
    <t>21596-CM-073</t>
  </si>
  <si>
    <t>MARISA KUSUMA</t>
  </si>
  <si>
    <t>21596-CM-074</t>
  </si>
  <si>
    <t>MOHAMMED ABDUR RAHMAN</t>
  </si>
  <si>
    <t>21596-CM-075</t>
  </si>
  <si>
    <t>MOLLETI CHANDI NAGA CHANIKYA</t>
  </si>
  <si>
    <t>21596-CM-076</t>
  </si>
  <si>
    <t>MOLLI YASHASWINI</t>
  </si>
  <si>
    <t>21596-CM-077</t>
  </si>
  <si>
    <t>MONDI NAGA DURGA RAMESH</t>
  </si>
  <si>
    <t>21596-CM-078</t>
  </si>
  <si>
    <t>MOPADA POORNA MANIKANTA</t>
  </si>
  <si>
    <t>21596-CM-079</t>
  </si>
  <si>
    <t>MOSURU GAYATHRI</t>
  </si>
  <si>
    <t>21596-CM-080</t>
  </si>
  <si>
    <t>MULAVEESALA VENKATA SAMEER</t>
  </si>
  <si>
    <t>21596-CM-081</t>
  </si>
  <si>
    <t>MULAVEESALA VENKATA SIVA NAGA SAI SIDDIQ</t>
  </si>
  <si>
    <t>21596-CM-082</t>
  </si>
  <si>
    <t>MUTTA GANESH</t>
  </si>
  <si>
    <t>21596-CM-083</t>
  </si>
  <si>
    <t>MYLAPALLI NANDINI</t>
  </si>
  <si>
    <t>21596-CM-084</t>
  </si>
  <si>
    <t>NADIMPALLY DANUNJAY KRISHNA VARMA</t>
  </si>
  <si>
    <t>21596-CM-085</t>
  </si>
  <si>
    <t>NAGETI BALA SAPTHA GIRISH</t>
  </si>
  <si>
    <t>21596-CM-086</t>
  </si>
  <si>
    <t>NAKKA SURENDHAR</t>
  </si>
  <si>
    <t>21596-CM-087</t>
  </si>
  <si>
    <t>NAMANA MANI CHANDAN SATYA VENKATA SAI</t>
  </si>
  <si>
    <t>21596-CM-088</t>
  </si>
  <si>
    <t>NEIGAPULA PRADEEP KUMAR</t>
  </si>
  <si>
    <t>21596-CM-089</t>
  </si>
  <si>
    <t>NIMMITI VASANTH KUMAR</t>
  </si>
  <si>
    <t>21596-CM-090</t>
  </si>
  <si>
    <t>NOWDU THARUN</t>
  </si>
  <si>
    <t>21596-CM-091</t>
  </si>
  <si>
    <t>PALLAM TANUSHA</t>
  </si>
  <si>
    <t>21596-CM-092</t>
  </si>
  <si>
    <t>PANDRANKI VARALAKSHMI</t>
  </si>
  <si>
    <t>21596-CM-093</t>
  </si>
  <si>
    <t>PENTAKOTA MADHAVI</t>
  </si>
  <si>
    <t>21596-CM-094</t>
  </si>
  <si>
    <t>PENTAKOTA SAMBA SIVA RAO</t>
  </si>
  <si>
    <t>21596-CM-095</t>
  </si>
  <si>
    <t>PENUMUDI ANAND MAHADEV</t>
  </si>
  <si>
    <t>21596-CM-096</t>
  </si>
  <si>
    <t>PERLA BALU</t>
  </si>
  <si>
    <t>21596-CM-097</t>
  </si>
  <si>
    <t>PILLA CHARAN SAI NAGENDRA</t>
  </si>
  <si>
    <t>21596-CM-098</t>
  </si>
  <si>
    <t>POLIPALLI DILEEP KUMAR</t>
  </si>
  <si>
    <t>21596-CM-099</t>
  </si>
  <si>
    <t>POTNURU PRAKASH</t>
  </si>
  <si>
    <t>21596-CM-100</t>
  </si>
  <si>
    <t>RAJANA PAVAN  KUMAR</t>
  </si>
  <si>
    <t>21596-CM-101</t>
  </si>
  <si>
    <t>RAMADASU PREM KUMAR</t>
  </si>
  <si>
    <t>21596-CM-102</t>
  </si>
  <si>
    <t>RAYAPUREDDY YASWANTH</t>
  </si>
  <si>
    <t>21596-CM-103</t>
  </si>
  <si>
    <t>RAYINI KONDA KRISHNA MANOHAR</t>
  </si>
  <si>
    <t>21596-CM-104</t>
  </si>
  <si>
    <t>REDDIPALLI VIVEK</t>
  </si>
  <si>
    <t>21596-CM-105</t>
  </si>
  <si>
    <t>REPAKA MEGHANA</t>
  </si>
  <si>
    <t>21596-CM-106</t>
  </si>
  <si>
    <t>RONGALI MANOHAR</t>
  </si>
  <si>
    <t>21596-CM-107</t>
  </si>
  <si>
    <t>RONGALI VAGDEVI</t>
  </si>
  <si>
    <t>21596-CM-108</t>
  </si>
  <si>
    <t>SARIPALLI SYAM SUNDHAR</t>
  </si>
  <si>
    <t>21596-CM-109</t>
  </si>
  <si>
    <t>SARIKA ADHI LAKSHMI</t>
  </si>
  <si>
    <t>21596-CM-110</t>
  </si>
  <si>
    <t>SARVISETTI PUJITHA</t>
  </si>
  <si>
    <t>21596-CM-111</t>
  </si>
  <si>
    <t>SATTARAVU SAMUEL RAJ</t>
  </si>
  <si>
    <t>21596-CM-112</t>
  </si>
  <si>
    <t>SATYAVARAPU AKSHAY</t>
  </si>
  <si>
    <t>21596-CM-113</t>
  </si>
  <si>
    <t>SEERAPU MANIKANTA</t>
  </si>
  <si>
    <t>21596-CM-114</t>
  </si>
  <si>
    <t>SETTI KUMAR RAJA</t>
  </si>
  <si>
    <t>21596-CM-115</t>
  </si>
  <si>
    <t>SINGAMPALLI VIJAYA KUMARI</t>
  </si>
  <si>
    <t>21596-CM-116</t>
  </si>
  <si>
    <t>SURADA PREM SAGAR</t>
  </si>
  <si>
    <t>21596-CM-117</t>
  </si>
  <si>
    <t>SWAYAM VARAPU MADHURI</t>
  </si>
  <si>
    <t>21596-CM-118</t>
  </si>
  <si>
    <t>TAMMINENI NARASINGA RAO</t>
  </si>
  <si>
    <t>21596-CM-119</t>
  </si>
  <si>
    <t>TARALA PREM SAGAR</t>
  </si>
  <si>
    <t>21596-CM-120</t>
  </si>
  <si>
    <t>THAMARANA VARAHALABABU</t>
  </si>
  <si>
    <t>21596-CM-121</t>
  </si>
  <si>
    <t>THYADI HARSHA VARDHAN</t>
  </si>
  <si>
    <t>21596-CM-122</t>
  </si>
  <si>
    <t>TIPPANA HEMANTH KUMAR</t>
  </si>
  <si>
    <t>21596-CM-123</t>
  </si>
  <si>
    <t>VADDI HISHITA</t>
  </si>
  <si>
    <t>21596-CM-124</t>
  </si>
  <si>
    <t>VANAPALLI ANURADHA</t>
  </si>
  <si>
    <t>21596-CM-125</t>
  </si>
  <si>
    <t>VANDRASI DURGA PRASANTH</t>
  </si>
  <si>
    <t>21596-CM-126</t>
  </si>
  <si>
    <t>VANKA MOHANA KRISHNA</t>
  </si>
  <si>
    <t>21596-CM-127</t>
  </si>
  <si>
    <t xml:space="preserve">KANAMARLAPUDI VARSHINI PRIYA </t>
  </si>
  <si>
    <t>21596-CM-128</t>
  </si>
  <si>
    <t>VASAMSETTI SOWJANYA LAKSHMI</t>
  </si>
  <si>
    <t>21596-CM-129</t>
  </si>
  <si>
    <t>VEERLA CHARAN SAI</t>
  </si>
  <si>
    <t>21596-CM-130</t>
  </si>
  <si>
    <t>VERRIGHUKKAPRAJNA SAIBHAVITHA</t>
  </si>
  <si>
    <t>21596-CM-131</t>
  </si>
  <si>
    <t>YENUGULA ANITHA</t>
  </si>
  <si>
    <t>21596-CM-132</t>
  </si>
  <si>
    <t>YERNINTI PRANEETH</t>
  </si>
  <si>
    <t>Status</t>
  </si>
  <si>
    <t>Students</t>
  </si>
  <si>
    <t>Pass_Percentage</t>
  </si>
  <si>
    <t>Subject</t>
  </si>
  <si>
    <t>No_Students_Passed</t>
  </si>
  <si>
    <t>No_students_Failed</t>
  </si>
  <si>
    <t>Subject_Wise</t>
  </si>
  <si>
    <t>CME 1 - 77.78%</t>
  </si>
  <si>
    <t>CME 2 - 86.15%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</si>
</sst>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color rgb="FFABB2BF"/>
      <name val="Consolas"/>
      <family val="3"/>
    </font>
    <font>
      <sz val="9.6"/>
      <color rgb="FFD1D5DB"/>
      <name val="Segoe UI"/>
      <family val="2"/>
    </font>
    <font>
      <sz val="9.6"/>
      <color rgb="FFD1D5DB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465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10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7" fillId="0" borderId="0" xfId="0" applyFont="1"/>
    <xf numFmtId="0" fontId="8" fillId="0" borderId="0" xfId="0" applyFont="1"/>
    <xf numFmtId="10" fontId="0" fillId="0" borderId="0" xfId="0" applyNumberFormat="1"/>
    <xf numFmtId="0" fontId="9" fillId="0" borderId="0" xfId="0" applyFont="1"/>
    <xf numFmtId="0" fontId="10" fillId="3" borderId="2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strike val="0"/>
        <outline val="0"/>
        <shadow val="0"/>
        <vertAlign val="baseline"/>
        <sz val="14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Pass Percentage </a:t>
            </a:r>
            <a:r>
              <a:rPr lang="en-US" sz="2000" b="1"/>
              <a:t>82.03%</a:t>
            </a:r>
            <a:endParaRPr lang="en-US" sz="20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Pass_Percentage!$B$1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26-45EA-AC85-B8D78C95035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Pass_Percentage!$A$2:$A$3</c:f>
              <c:strCache>
                <c:ptCount val="2"/>
                <c:pt idx="0">
                  <c:v>PASS</c:v>
                </c:pt>
                <c:pt idx="1">
                  <c:v>PROMOTED</c:v>
                </c:pt>
              </c:strCache>
            </c:strRef>
          </c:cat>
          <c:val>
            <c:numRef>
              <c:f>Pass_Percentage!$B$2:$B$3</c:f>
              <c:numCache>
                <c:formatCode>General</c:formatCode>
                <c:ptCount val="2"/>
                <c:pt idx="0">
                  <c:v>105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6-45EA-AC85-B8D78C9503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8411376"/>
        <c:axId val="258414736"/>
      </c:barChart>
      <c:catAx>
        <c:axId val="25841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14736"/>
        <c:crosses val="autoZero"/>
        <c:auto val="1"/>
        <c:lblAlgn val="ctr"/>
        <c:lblOffset val="100"/>
        <c:noMultiLvlLbl val="0"/>
      </c:catAx>
      <c:valAx>
        <c:axId val="2584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Students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11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Pass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Sub_Percentage!$B$1</c:f>
              <c:strCache>
                <c:ptCount val="1"/>
                <c:pt idx="0">
                  <c:v>No_Students_Passed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Sub_Percentage!$A$2:$A$6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Sub_Percentage!$B$2:$B$6</c:f>
              <c:numCache>
                <c:formatCode>General</c:formatCode>
                <c:ptCount val="5"/>
                <c:pt idx="0">
                  <c:v>117</c:v>
                </c:pt>
                <c:pt idx="1">
                  <c:v>116</c:v>
                </c:pt>
                <c:pt idx="2">
                  <c:v>126</c:v>
                </c:pt>
                <c:pt idx="3">
                  <c:v>116</c:v>
                </c:pt>
                <c:pt idx="4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7-4AF5-B141-452758EEFB8F}"/>
            </c:ext>
          </c:extLst>
        </c:ser>
        <c:ser>
          <c:idx val="1"/>
          <c:order val="1"/>
          <c:tx>
            <c:strRef>
              <c:f>Sub_Percentage!$C$1</c:f>
              <c:strCache>
                <c:ptCount val="1"/>
                <c:pt idx="0">
                  <c:v>No_students_Failed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Sub_Percentage!$A$2:$A$6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Sub_Percentage!$C$2:$C$6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2</c:v>
                </c:pt>
                <c:pt idx="3">
                  <c:v>12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7-4AF5-B141-452758EEFB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7720544"/>
        <c:axId val="377726304"/>
      </c:barChart>
      <c:catAx>
        <c:axId val="3777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26304"/>
        <c:crosses val="autoZero"/>
        <c:auto val="1"/>
        <c:lblAlgn val="ctr"/>
        <c:lblOffset val="100"/>
        <c:noMultiLvlLbl val="0"/>
      </c:catAx>
      <c:valAx>
        <c:axId val="3777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205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Pass Percentage </a:t>
            </a:r>
            <a:r>
              <a:rPr lang="en-US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77.78%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CME_1!$B$1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3C-4D77-9B37-AA55B8F97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CME_1!$A$2:$A$3</c:f>
              <c:strCache>
                <c:ptCount val="2"/>
                <c:pt idx="0">
                  <c:v>PASS</c:v>
                </c:pt>
                <c:pt idx="1">
                  <c:v>PROMOTED</c:v>
                </c:pt>
              </c:strCache>
            </c:strRef>
          </c:cat>
          <c:val>
            <c:numRef>
              <c:f>CME_1!$B$2:$B$3</c:f>
              <c:numCache>
                <c:formatCode>General</c:formatCode>
                <c:ptCount val="2"/>
                <c:pt idx="0">
                  <c:v>49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C-4D77-9B37-AA55B8F97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0259839"/>
        <c:axId val="590260799"/>
      </c:barChart>
      <c:catAx>
        <c:axId val="59025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60799"/>
        <c:crosses val="autoZero"/>
        <c:auto val="1"/>
        <c:lblAlgn val="ctr"/>
        <c:lblOffset val="100"/>
        <c:noMultiLvlLbl val="0"/>
      </c:catAx>
      <c:valAx>
        <c:axId val="5902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5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Pass Trend</a:t>
            </a:r>
          </a:p>
        </c:rich>
      </c:tx>
      <c:layout>
        <c:manualLayout>
          <c:xMode val="edge"/>
          <c:yMode val="edge"/>
          <c:x val="0.398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CME_1!$M$1</c:f>
              <c:strCache>
                <c:ptCount val="1"/>
                <c:pt idx="0">
                  <c:v>No_Students_Passed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CME_1!$L$2:$L$7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CME_1!$M$2:$M$7</c:f>
              <c:numCache>
                <c:formatCode>General</c:formatCode>
                <c:ptCount val="6"/>
                <c:pt idx="0">
                  <c:v>56</c:v>
                </c:pt>
                <c:pt idx="1">
                  <c:v>56</c:v>
                </c:pt>
                <c:pt idx="2">
                  <c:v>62</c:v>
                </c:pt>
                <c:pt idx="3">
                  <c:v>55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C-4223-B6A6-DDE6D62118BF}"/>
            </c:ext>
          </c:extLst>
        </c:ser>
        <c:ser>
          <c:idx val="1"/>
          <c:order val="1"/>
          <c:tx>
            <c:strRef>
              <c:f>CME_1!$N$1</c:f>
              <c:strCache>
                <c:ptCount val="1"/>
                <c:pt idx="0">
                  <c:v>No_students_Failed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CME_1!$L$2:$L$7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CME_1!$N$2:$N$7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C-4223-B6A6-DDE6D621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502239"/>
        <c:axId val="851502719"/>
      </c:barChart>
      <c:catAx>
        <c:axId val="8515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02719"/>
        <c:crosses val="autoZero"/>
        <c:auto val="1"/>
        <c:lblAlgn val="ctr"/>
        <c:lblOffset val="100"/>
        <c:noMultiLvlLbl val="0"/>
      </c:catAx>
      <c:valAx>
        <c:axId val="8515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Pass Percentage </a:t>
            </a: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86.15%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CME_2!$B$1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76-4BC2-8775-664BEFEE791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76-4BC2-8775-664BEFEE7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CME_2!$A$2:$A$3</c:f>
              <c:strCache>
                <c:ptCount val="2"/>
                <c:pt idx="0">
                  <c:v>PASS</c:v>
                </c:pt>
                <c:pt idx="1">
                  <c:v>PROMOTED</c:v>
                </c:pt>
              </c:strCache>
            </c:strRef>
          </c:cat>
          <c:val>
            <c:numRef>
              <c:f>CME_2!$B$2:$B$3</c:f>
              <c:numCache>
                <c:formatCode>General</c:formatCode>
                <c:ptCount val="2"/>
                <c:pt idx="0">
                  <c:v>56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6-4BC2-8775-664BEFEE7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044223"/>
        <c:axId val="853041823"/>
      </c:barChart>
      <c:catAx>
        <c:axId val="853044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41823"/>
        <c:crosses val="autoZero"/>
        <c:auto val="1"/>
        <c:lblAlgn val="ctr"/>
        <c:lblOffset val="100"/>
        <c:noMultiLvlLbl val="0"/>
      </c:catAx>
      <c:valAx>
        <c:axId val="85304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4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Pass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CME_2!$M$1</c:f>
              <c:strCache>
                <c:ptCount val="1"/>
                <c:pt idx="0">
                  <c:v>No_Students_Passed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CME_2!$L$2:$L$6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CME_2!$M$2:$M$6</c:f>
              <c:numCache>
                <c:formatCode>General</c:formatCode>
                <c:ptCount val="5"/>
                <c:pt idx="0">
                  <c:v>61</c:v>
                </c:pt>
                <c:pt idx="1">
                  <c:v>60</c:v>
                </c:pt>
                <c:pt idx="2">
                  <c:v>64</c:v>
                </c:pt>
                <c:pt idx="3">
                  <c:v>61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2-4045-B1C2-46470D010DCC}"/>
            </c:ext>
          </c:extLst>
        </c:ser>
        <c:ser>
          <c:idx val="1"/>
          <c:order val="1"/>
          <c:tx>
            <c:strRef>
              <c:f>CME_2!$N$1</c:f>
              <c:strCache>
                <c:ptCount val="1"/>
                <c:pt idx="0">
                  <c:v>No_students_Failed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CME_2!$L$2:$L$6</c:f>
              <c:strCache>
                <c:ptCount val="5"/>
                <c:pt idx="0">
                  <c:v>Maths</c:v>
                </c:pt>
                <c:pt idx="1">
                  <c:v>WT</c:v>
                </c:pt>
                <c:pt idx="2">
                  <c:v>CO</c:v>
                </c:pt>
                <c:pt idx="3">
                  <c:v>C++</c:v>
                </c:pt>
                <c:pt idx="4">
                  <c:v>CN</c:v>
                </c:pt>
              </c:strCache>
            </c:strRef>
          </c:cat>
          <c:val>
            <c:numRef>
              <c:f>CME_2!$N$2:$N$6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2-4045-B1C2-46470D01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068127"/>
        <c:axId val="1015061887"/>
      </c:barChart>
      <c:catAx>
        <c:axId val="10150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61887"/>
        <c:crosses val="autoZero"/>
        <c:auto val="1"/>
        <c:lblAlgn val="ctr"/>
        <c:lblOffset val="100"/>
        <c:noMultiLvlLbl val="0"/>
      </c:catAx>
      <c:valAx>
        <c:axId val="10150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6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99060</xdr:rowOff>
    </xdr:from>
    <xdr:to>
      <xdr:col>17</xdr:col>
      <xdr:colOff>259080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26670</xdr:rowOff>
    </xdr:from>
    <xdr:to>
      <xdr:col>14</xdr:col>
      <xdr:colOff>541020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4</xdr:row>
      <xdr:rowOff>11430</xdr:rowOff>
    </xdr:from>
    <xdr:to>
      <xdr:col>8</xdr:col>
      <xdr:colOff>594360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C3B6F3-C77B-D43D-AE43-1EA4FE4B9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586740</xdr:colOff>
      <xdr:row>7</xdr:row>
      <xdr:rowOff>26670</xdr:rowOff>
    </xdr:from>
    <xdr:to>
      <xdr:col>15</xdr:col>
      <xdr:colOff>190500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06FAC-7EEF-635C-3101-CFA4B4BBF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4</xdr:row>
      <xdr:rowOff>19050</xdr:rowOff>
    </xdr:from>
    <xdr:to>
      <xdr:col>8</xdr:col>
      <xdr:colOff>60960</xdr:colOff>
      <xdr:row>24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E55764-4AB4-7ED7-F2EC-A3C5C945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7</xdr:row>
      <xdr:rowOff>19050</xdr:rowOff>
    </xdr:from>
    <xdr:to>
      <xdr:col>15</xdr:col>
      <xdr:colOff>15240</xdr:colOff>
      <xdr:row>25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8B4E2E-94C3-0D09-8DB3-989B70083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8602C-8F69-4AAA-ADFA-40FD94932633}" name="Table2" displayName="Table2" ref="A1:C3" totalsRowShown="0">
  <autoFilter ref="A1:C3" xr:uid="{9898602C-8F69-4AAA-ADFA-40FD94932633}"/>
  <tableColumns count="3">
    <tableColumn id="1" xr3:uid="{03D570C3-A970-4790-87FA-E6455CF881D5}" name="Status"/>
    <tableColumn id="2" xr3:uid="{814FAF91-A8DE-45B4-A196-EF7BF69A921B}" name="Students"/>
    <tableColumn id="3" xr3:uid="{3B971CC9-37A3-42DF-878C-D9497B3A1014}" name="Pass_Percentage" dataDxfId="27">
      <calculatedColumnFormula>SUM(B2)/SUM($B$2:$B$3)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180F61-DB60-42C9-9FA2-BB481FD84482}" name="Table248" displayName="Table248" ref="A8:C10" totalsRowShown="0">
  <autoFilter ref="A8:C10" xr:uid="{8D180F61-DB60-42C9-9FA2-BB481FD84482}"/>
  <tableColumns count="3">
    <tableColumn id="1" xr3:uid="{90B86885-2928-428C-A76A-9870FE935B36}" name="Status"/>
    <tableColumn id="2" xr3:uid="{6073BFF3-106D-4801-B46D-0315CC0221B7}" name="Students"/>
    <tableColumn id="3" xr3:uid="{DEAF48EA-FA6B-4E4F-BE58-7CEF9B2CA286}" name="Pass_Percentage" dataDxfId="26">
      <calculatedColumnFormula>SUM(B9)/SUM($B$2:$B$3)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399B0D-7334-455E-B61D-DF33C59FFF71}" name="Table2469" displayName="Table2469" ref="A15:C17" totalsRowShown="0">
  <autoFilter ref="A15:C17" xr:uid="{98399B0D-7334-455E-B61D-DF33C59FFF71}"/>
  <tableColumns count="3">
    <tableColumn id="1" xr3:uid="{02D8753F-0980-4E1C-AD90-4F8B979D2EE4}" name="Status"/>
    <tableColumn id="2" xr3:uid="{306582C2-81DB-44F1-BCB8-26ACE28B58F1}" name="Students"/>
    <tableColumn id="3" xr3:uid="{E4F43CAD-68AE-4F48-8851-FF6DB452DA1A}" name="Pass_Percentage" dataDxfId="25">
      <calculatedColumnFormula>SUM(B16)/SUM($B$2:$B$3)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" totalsRowShown="0" headerRowDxfId="24" dataDxfId="23">
  <autoFilter ref="A1:D6" xr:uid="{00000000-0009-0000-0100-000001000000}"/>
  <tableColumns count="4">
    <tableColumn id="1" xr3:uid="{00000000-0010-0000-0000-000001000000}" name="Subject" dataDxfId="22"/>
    <tableColumn id="2" xr3:uid="{00000000-0010-0000-0000-000002000000}" name="No_Students_Passed" dataDxfId="21"/>
    <tableColumn id="3" xr3:uid="{00000000-0010-0000-0000-000003000000}" name="No_students_Failed" dataDxfId="20">
      <calculatedColumnFormula>SUM(128-B2)</calculatedColumnFormula>
    </tableColumn>
    <tableColumn id="4" xr3:uid="{00000000-0010-0000-0000-000004000000}" name="Subject_Wise" dataDxfId="19">
      <calculatedColumnFormula>SUM(B2)/128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5F9BC1-E73F-4CD4-B234-7C465F361463}" name="Table24" displayName="Table24" ref="A1:C3" totalsRowShown="0">
  <autoFilter ref="A1:C3" xr:uid="{495F9BC1-E73F-4CD4-B234-7C465F361463}"/>
  <tableColumns count="3">
    <tableColumn id="1" xr3:uid="{921FBA44-577B-498A-9157-8BAD93C06968}" name="Status"/>
    <tableColumn id="2" xr3:uid="{ABAE29D3-62EE-4D2C-B2AD-1F39D3F16A5D}" name="Students"/>
    <tableColumn id="3" xr3:uid="{4105723A-554A-4688-B931-44172B9F0144}" name="Pass_Percentage" dataDxfId="18">
      <calculatedColumnFormula>SUM(B2)/SUM($B$2:$B$3)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E8B31-456C-4B8A-A255-D451A6B7E3E5}" name="Table15" displayName="Table15" ref="L1:O6" totalsRowShown="0" headerRowDxfId="17" dataDxfId="16">
  <autoFilter ref="L1:O6" xr:uid="{1BEE8B31-456C-4B8A-A255-D451A6B7E3E5}"/>
  <tableColumns count="4">
    <tableColumn id="1" xr3:uid="{EB71084C-7F85-4C7C-B29A-0FFF7649EBAB}" name="Subject" dataDxfId="15"/>
    <tableColumn id="2" xr3:uid="{E257CD57-12F9-4B94-A8F7-F637EDF0ECFD}" name="No_Students_Passed" dataDxfId="14"/>
    <tableColumn id="3" xr3:uid="{C3FFBF94-EFC0-4F87-B435-E1AE3D401202}" name="No_students_Failed" dataDxfId="13">
      <calculatedColumnFormula>SUM(63-M2)</calculatedColumnFormula>
    </tableColumn>
    <tableColumn id="4" xr3:uid="{F2CED611-9236-42D2-9513-B7FC8BD17FB7}" name="Subject_Wise" dataDxfId="12">
      <calculatedColumnFormula>SUM(M2)/63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DCB251-9BE0-4562-A33D-1DBC11F2FA1D}" name="Table246" displayName="Table246" ref="A1:C3" totalsRowShown="0">
  <autoFilter ref="A1:C3" xr:uid="{A1DCB251-9BE0-4562-A33D-1DBC11F2FA1D}"/>
  <tableColumns count="3">
    <tableColumn id="1" xr3:uid="{EFC17974-9B4B-485F-9AB2-B223423DC86C}" name="Status"/>
    <tableColumn id="2" xr3:uid="{A3F6381B-FA94-4A12-8E8A-AFE5EA3FC492}" name="Students"/>
    <tableColumn id="3" xr3:uid="{BD5C31A1-E7D5-41D0-A4C5-0C5A6B177FEB}" name="Pass_Percentage" dataDxfId="11">
      <calculatedColumnFormula>SUM(B2)/SUM($B$2:$B$3)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CAA609-EBFD-4493-8A9F-12C32499EC87}" name="Table157" displayName="Table157" ref="L1:O6" totalsRowShown="0" headerRowDxfId="10" dataDxfId="9">
  <autoFilter ref="L1:O6" xr:uid="{7FCAA609-EBFD-4493-8A9F-12C32499EC87}"/>
  <tableColumns count="4">
    <tableColumn id="1" xr3:uid="{2A76E8D1-2A07-41BD-9BE8-1D7E9B5E5171}" name="Subject" dataDxfId="8"/>
    <tableColumn id="2" xr3:uid="{3247253E-EA77-42C0-8907-C524692C2C9E}" name="No_Students_Passed" dataDxfId="7"/>
    <tableColumn id="3" xr3:uid="{BE343FDB-DFA1-43A5-952C-F0EEFF86C4D8}" name="No_students_Failed" dataDxfId="6">
      <calculatedColumnFormula>SUM(65-M2)</calculatedColumnFormula>
    </tableColumn>
    <tableColumn id="4" xr3:uid="{B3720D3B-0AF9-484C-A5D3-C00F04F66D39}" name="Subject_Wise" dataDxfId="5">
      <calculatedColumnFormula>SUM(M2)/65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topLeftCell="A69" workbookViewId="0">
      <selection activeCell="A78" sqref="A78:B81"/>
    </sheetView>
  </sheetViews>
  <sheetFormatPr defaultRowHeight="14.4" x14ac:dyDescent="0.3"/>
  <cols>
    <col min="1" max="1" width="13.21875" style="2" bestFit="1" customWidth="1"/>
    <col min="2" max="2" width="43.44140625" style="2" bestFit="1" customWidth="1"/>
    <col min="3" max="12" width="8.88671875" style="2" customWidth="1"/>
    <col min="13" max="13" width="10.6640625" style="2" bestFit="1" customWidth="1"/>
    <col min="14" max="15" width="8.88671875" style="2" customWidth="1"/>
    <col min="16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406</v>
      </c>
      <c r="I1" s="1">
        <v>407</v>
      </c>
      <c r="J1" s="1">
        <v>408</v>
      </c>
      <c r="K1" s="1">
        <v>409</v>
      </c>
      <c r="L1" s="1" t="s">
        <v>7</v>
      </c>
      <c r="M1" s="1" t="s">
        <v>8</v>
      </c>
    </row>
    <row r="2" spans="1:13" x14ac:dyDescent="0.3">
      <c r="A2" s="2" t="s">
        <v>9</v>
      </c>
      <c r="B2" s="2" t="s">
        <v>10</v>
      </c>
      <c r="C2" s="2">
        <v>85</v>
      </c>
      <c r="D2" s="2">
        <v>64</v>
      </c>
      <c r="E2" s="2">
        <v>84</v>
      </c>
      <c r="F2" s="2">
        <v>49</v>
      </c>
      <c r="G2" s="2">
        <v>86</v>
      </c>
      <c r="H2" s="2">
        <v>100</v>
      </c>
      <c r="I2" s="2">
        <v>99</v>
      </c>
      <c r="J2" s="2">
        <v>99</v>
      </c>
      <c r="K2" s="2">
        <v>99</v>
      </c>
      <c r="L2" s="2">
        <v>765</v>
      </c>
      <c r="M2" s="2" t="s">
        <v>11</v>
      </c>
    </row>
    <row r="3" spans="1:13" x14ac:dyDescent="0.3">
      <c r="A3" s="2" t="s">
        <v>12</v>
      </c>
      <c r="B3" s="2" t="s">
        <v>13</v>
      </c>
      <c r="C3" s="2">
        <v>74</v>
      </c>
      <c r="D3" s="2">
        <v>88</v>
      </c>
      <c r="E3" s="2">
        <v>74</v>
      </c>
      <c r="F3" s="2">
        <v>57</v>
      </c>
      <c r="G3" s="2">
        <v>73</v>
      </c>
      <c r="H3" s="2">
        <v>100</v>
      </c>
      <c r="I3" s="2">
        <v>99</v>
      </c>
      <c r="J3" s="2">
        <v>100</v>
      </c>
      <c r="K3" s="2">
        <v>99</v>
      </c>
      <c r="L3" s="2">
        <v>764</v>
      </c>
      <c r="M3" s="2" t="s">
        <v>11</v>
      </c>
    </row>
    <row r="4" spans="1:13" x14ac:dyDescent="0.3">
      <c r="A4" s="2" t="s">
        <v>14</v>
      </c>
      <c r="B4" s="2" t="s">
        <v>15</v>
      </c>
      <c r="C4" s="2">
        <v>56</v>
      </c>
      <c r="D4" s="2">
        <v>66</v>
      </c>
      <c r="E4" s="2">
        <v>72</v>
      </c>
      <c r="F4" s="2">
        <v>66</v>
      </c>
      <c r="G4" s="2">
        <v>81</v>
      </c>
      <c r="H4" s="2">
        <v>98</v>
      </c>
      <c r="I4" s="2">
        <v>96</v>
      </c>
      <c r="J4" s="2">
        <v>95</v>
      </c>
      <c r="K4" s="2">
        <v>94</v>
      </c>
      <c r="L4" s="2">
        <v>724</v>
      </c>
      <c r="M4" s="2" t="s">
        <v>11</v>
      </c>
    </row>
    <row r="5" spans="1:13" x14ac:dyDescent="0.3">
      <c r="A5" s="2" t="s">
        <v>16</v>
      </c>
      <c r="B5" s="2" t="s">
        <v>17</v>
      </c>
      <c r="C5" s="2">
        <v>83</v>
      </c>
      <c r="D5" s="2">
        <v>76</v>
      </c>
      <c r="E5" s="2">
        <v>95</v>
      </c>
      <c r="F5" s="2">
        <v>85</v>
      </c>
      <c r="G5" s="2">
        <v>90</v>
      </c>
      <c r="H5" s="2">
        <v>99</v>
      </c>
      <c r="I5" s="2">
        <v>98</v>
      </c>
      <c r="J5" s="2">
        <v>99</v>
      </c>
      <c r="K5" s="2">
        <v>99</v>
      </c>
      <c r="L5" s="2">
        <v>824</v>
      </c>
      <c r="M5" s="2" t="s">
        <v>11</v>
      </c>
    </row>
    <row r="6" spans="1:13" x14ac:dyDescent="0.3">
      <c r="A6" s="2" t="s">
        <v>18</v>
      </c>
      <c r="B6" s="2" t="s">
        <v>19</v>
      </c>
      <c r="C6" s="2">
        <v>80</v>
      </c>
      <c r="D6" s="2">
        <v>76</v>
      </c>
      <c r="E6" s="2">
        <v>91</v>
      </c>
      <c r="F6" s="2">
        <v>93</v>
      </c>
      <c r="G6" s="2">
        <v>92</v>
      </c>
      <c r="H6" s="2">
        <v>100</v>
      </c>
      <c r="I6" s="2">
        <v>100</v>
      </c>
      <c r="J6" s="2">
        <v>100</v>
      </c>
      <c r="K6" s="2">
        <v>100</v>
      </c>
      <c r="L6" s="2">
        <v>832</v>
      </c>
      <c r="M6" s="2" t="s">
        <v>11</v>
      </c>
    </row>
    <row r="7" spans="1:13" x14ac:dyDescent="0.3">
      <c r="A7" s="2" t="s">
        <v>20</v>
      </c>
      <c r="B7" s="2" t="s">
        <v>21</v>
      </c>
      <c r="C7" s="2">
        <v>98</v>
      </c>
      <c r="D7" s="2">
        <v>93</v>
      </c>
      <c r="E7" s="2">
        <v>100</v>
      </c>
      <c r="F7" s="2">
        <v>100</v>
      </c>
      <c r="G7" s="2">
        <v>100</v>
      </c>
      <c r="H7" s="2">
        <v>100</v>
      </c>
      <c r="I7" s="2">
        <v>100</v>
      </c>
      <c r="J7" s="2">
        <v>100</v>
      </c>
      <c r="K7" s="2">
        <v>100</v>
      </c>
      <c r="L7" s="2">
        <v>891</v>
      </c>
      <c r="M7" s="2" t="s">
        <v>11</v>
      </c>
    </row>
    <row r="8" spans="1:13" x14ac:dyDescent="0.3">
      <c r="A8" s="2" t="s">
        <v>22</v>
      </c>
      <c r="B8" s="2" t="s">
        <v>23</v>
      </c>
      <c r="C8" s="2">
        <v>68</v>
      </c>
      <c r="D8" s="2">
        <v>62</v>
      </c>
      <c r="E8" s="2">
        <v>68</v>
      </c>
      <c r="F8" s="2">
        <v>71</v>
      </c>
      <c r="G8" s="2">
        <v>86</v>
      </c>
      <c r="H8" s="2">
        <v>97</v>
      </c>
      <c r="I8" s="2">
        <v>97</v>
      </c>
      <c r="J8" s="2">
        <v>95</v>
      </c>
      <c r="K8" s="2">
        <v>93</v>
      </c>
      <c r="L8" s="2">
        <v>737</v>
      </c>
      <c r="M8" s="2" t="s">
        <v>11</v>
      </c>
    </row>
    <row r="9" spans="1:13" x14ac:dyDescent="0.3">
      <c r="A9" s="2" t="s">
        <v>24</v>
      </c>
      <c r="B9" s="2" t="s">
        <v>25</v>
      </c>
      <c r="C9" s="2">
        <v>28</v>
      </c>
      <c r="D9" s="2">
        <v>26</v>
      </c>
      <c r="E9" s="2">
        <v>31</v>
      </c>
      <c r="F9" s="2">
        <v>50</v>
      </c>
      <c r="G9" s="2">
        <v>33</v>
      </c>
      <c r="H9" s="2">
        <v>99</v>
      </c>
      <c r="I9" s="2">
        <v>99</v>
      </c>
      <c r="J9" s="2">
        <v>100</v>
      </c>
      <c r="K9" s="2">
        <v>100</v>
      </c>
      <c r="L9" s="2">
        <v>566</v>
      </c>
      <c r="M9" s="2" t="s">
        <v>26</v>
      </c>
    </row>
    <row r="10" spans="1:13" x14ac:dyDescent="0.3">
      <c r="A10" s="2" t="s">
        <v>27</v>
      </c>
      <c r="B10" s="2" t="s">
        <v>28</v>
      </c>
      <c r="C10" s="2">
        <v>83</v>
      </c>
      <c r="D10" s="2">
        <v>77</v>
      </c>
      <c r="E10" s="2">
        <v>72</v>
      </c>
      <c r="F10" s="2">
        <v>90</v>
      </c>
      <c r="G10" s="2">
        <v>70</v>
      </c>
      <c r="H10" s="2">
        <v>100</v>
      </c>
      <c r="I10" s="2">
        <v>100</v>
      </c>
      <c r="J10" s="2">
        <v>100</v>
      </c>
      <c r="K10" s="2">
        <v>100</v>
      </c>
      <c r="L10" s="2">
        <v>792</v>
      </c>
      <c r="M10" s="2" t="s">
        <v>11</v>
      </c>
    </row>
    <row r="11" spans="1:13" x14ac:dyDescent="0.3">
      <c r="A11" s="2" t="s">
        <v>29</v>
      </c>
      <c r="B11" s="2" t="s">
        <v>30</v>
      </c>
      <c r="C11" s="2">
        <v>93</v>
      </c>
      <c r="D11" s="2">
        <v>56</v>
      </c>
      <c r="E11" s="2">
        <v>46</v>
      </c>
      <c r="F11" s="2">
        <v>56</v>
      </c>
      <c r="G11" s="2">
        <v>52</v>
      </c>
      <c r="H11" s="2">
        <v>100</v>
      </c>
      <c r="I11" s="2">
        <v>100</v>
      </c>
      <c r="J11" s="2">
        <v>100</v>
      </c>
      <c r="K11" s="2">
        <v>100</v>
      </c>
      <c r="L11" s="2">
        <v>703</v>
      </c>
      <c r="M11" s="2" t="s">
        <v>11</v>
      </c>
    </row>
    <row r="12" spans="1:13" x14ac:dyDescent="0.3">
      <c r="A12" s="2" t="s">
        <v>31</v>
      </c>
      <c r="B12" s="2" t="s">
        <v>32</v>
      </c>
      <c r="C12" s="2">
        <v>63</v>
      </c>
      <c r="D12" s="2">
        <v>86</v>
      </c>
      <c r="E12" s="2">
        <v>54</v>
      </c>
      <c r="F12" s="2">
        <v>51</v>
      </c>
      <c r="G12" s="2">
        <v>70</v>
      </c>
      <c r="H12" s="2">
        <v>100</v>
      </c>
      <c r="I12" s="2">
        <v>97</v>
      </c>
      <c r="J12" s="2">
        <v>98</v>
      </c>
      <c r="K12" s="2">
        <v>97</v>
      </c>
      <c r="L12" s="2">
        <v>716</v>
      </c>
      <c r="M12" s="2" t="s">
        <v>11</v>
      </c>
    </row>
    <row r="13" spans="1:13" x14ac:dyDescent="0.3">
      <c r="A13" s="2" t="s">
        <v>33</v>
      </c>
      <c r="B13" s="2" t="s">
        <v>34</v>
      </c>
      <c r="C13" s="2">
        <v>98</v>
      </c>
      <c r="D13" s="2">
        <v>82</v>
      </c>
      <c r="E13" s="2">
        <v>94</v>
      </c>
      <c r="F13" s="2">
        <v>72</v>
      </c>
      <c r="G13" s="2">
        <v>88</v>
      </c>
      <c r="H13" s="2">
        <v>100</v>
      </c>
      <c r="I13" s="2">
        <v>100</v>
      </c>
      <c r="J13" s="2">
        <v>100</v>
      </c>
      <c r="K13" s="2">
        <v>100</v>
      </c>
      <c r="L13" s="2">
        <v>834</v>
      </c>
      <c r="M13" s="2" t="s">
        <v>11</v>
      </c>
    </row>
    <row r="14" spans="1:13" x14ac:dyDescent="0.3">
      <c r="A14" s="2" t="s">
        <v>35</v>
      </c>
      <c r="B14" s="2" t="s">
        <v>36</v>
      </c>
      <c r="C14" s="2">
        <v>85</v>
      </c>
      <c r="D14" s="2">
        <v>67</v>
      </c>
      <c r="E14" s="2">
        <v>80</v>
      </c>
      <c r="F14" s="2">
        <v>47</v>
      </c>
      <c r="G14" s="2">
        <v>83</v>
      </c>
      <c r="H14" s="2">
        <v>99</v>
      </c>
      <c r="I14" s="2">
        <v>97</v>
      </c>
      <c r="J14" s="2">
        <v>96</v>
      </c>
      <c r="K14" s="2">
        <v>98</v>
      </c>
      <c r="L14" s="2">
        <v>752</v>
      </c>
      <c r="M14" s="2" t="s">
        <v>11</v>
      </c>
    </row>
    <row r="15" spans="1:13" x14ac:dyDescent="0.3">
      <c r="A15" s="2" t="s">
        <v>37</v>
      </c>
      <c r="B15" s="2" t="s">
        <v>38</v>
      </c>
      <c r="C15" s="2">
        <v>73</v>
      </c>
      <c r="D15" s="2">
        <v>32</v>
      </c>
      <c r="E15" s="2">
        <v>64</v>
      </c>
      <c r="F15" s="2">
        <v>61</v>
      </c>
      <c r="G15" s="2">
        <v>68</v>
      </c>
      <c r="H15" s="2">
        <v>100</v>
      </c>
      <c r="I15" s="2">
        <v>98</v>
      </c>
      <c r="J15" s="2">
        <v>99</v>
      </c>
      <c r="K15" s="2">
        <v>99</v>
      </c>
      <c r="L15" s="2">
        <v>694</v>
      </c>
      <c r="M15" s="2" t="s">
        <v>26</v>
      </c>
    </row>
    <row r="16" spans="1:13" x14ac:dyDescent="0.3">
      <c r="A16" s="2" t="s">
        <v>39</v>
      </c>
      <c r="B16" s="2" t="s">
        <v>40</v>
      </c>
      <c r="C16" s="2">
        <v>86</v>
      </c>
      <c r="D16" s="2">
        <v>61</v>
      </c>
      <c r="E16" s="2">
        <v>81</v>
      </c>
      <c r="F16" s="2">
        <v>87</v>
      </c>
      <c r="G16" s="2">
        <v>85</v>
      </c>
      <c r="H16" s="2">
        <v>99</v>
      </c>
      <c r="I16" s="2">
        <v>98</v>
      </c>
      <c r="J16" s="2">
        <v>97</v>
      </c>
      <c r="K16" s="2">
        <v>98</v>
      </c>
      <c r="L16" s="2">
        <v>792</v>
      </c>
      <c r="M16" s="2" t="s">
        <v>11</v>
      </c>
    </row>
    <row r="17" spans="1:13" x14ac:dyDescent="0.3">
      <c r="A17" s="2" t="s">
        <v>41</v>
      </c>
      <c r="B17" s="2" t="s">
        <v>42</v>
      </c>
      <c r="C17" s="2">
        <v>49</v>
      </c>
      <c r="D17" s="2">
        <v>51</v>
      </c>
      <c r="E17" s="2">
        <v>68</v>
      </c>
      <c r="F17" s="2">
        <v>70</v>
      </c>
      <c r="G17" s="2">
        <v>72</v>
      </c>
      <c r="H17" s="2">
        <v>97</v>
      </c>
      <c r="I17" s="2">
        <v>96</v>
      </c>
      <c r="J17" s="2">
        <v>96</v>
      </c>
      <c r="K17" s="2">
        <v>97</v>
      </c>
      <c r="L17" s="2">
        <v>696</v>
      </c>
      <c r="M17" s="2" t="s">
        <v>11</v>
      </c>
    </row>
    <row r="18" spans="1:13" x14ac:dyDescent="0.3">
      <c r="A18" s="2" t="s">
        <v>43</v>
      </c>
      <c r="B18" s="2" t="s">
        <v>44</v>
      </c>
      <c r="C18" s="2">
        <v>26</v>
      </c>
      <c r="D18" s="2">
        <v>27</v>
      </c>
      <c r="E18" s="2">
        <v>42</v>
      </c>
      <c r="F18" s="2">
        <v>48</v>
      </c>
      <c r="G18" s="2">
        <v>44</v>
      </c>
      <c r="H18" s="2">
        <v>93</v>
      </c>
      <c r="I18" s="2">
        <v>92</v>
      </c>
      <c r="J18" s="2">
        <v>94</v>
      </c>
      <c r="K18" s="2">
        <v>95</v>
      </c>
      <c r="L18" s="2">
        <v>561</v>
      </c>
      <c r="M18" s="2" t="s">
        <v>26</v>
      </c>
    </row>
    <row r="19" spans="1:13" x14ac:dyDescent="0.3">
      <c r="A19" s="2" t="s">
        <v>45</v>
      </c>
      <c r="B19" s="2" t="s">
        <v>46</v>
      </c>
      <c r="C19" s="2">
        <v>52</v>
      </c>
      <c r="D19" s="2">
        <v>57</v>
      </c>
      <c r="E19" s="2">
        <v>55</v>
      </c>
      <c r="F19" s="2">
        <v>63</v>
      </c>
      <c r="G19" s="2">
        <v>65</v>
      </c>
      <c r="H19" s="2">
        <v>96</v>
      </c>
      <c r="I19" s="2">
        <v>94</v>
      </c>
      <c r="J19" s="2">
        <v>94</v>
      </c>
      <c r="K19" s="2">
        <v>96</v>
      </c>
      <c r="L19" s="2">
        <v>672</v>
      </c>
      <c r="M19" s="2" t="s">
        <v>11</v>
      </c>
    </row>
    <row r="20" spans="1:13" x14ac:dyDescent="0.3">
      <c r="A20" s="2" t="s">
        <v>47</v>
      </c>
      <c r="B20" s="2" t="s">
        <v>48</v>
      </c>
      <c r="C20" s="2">
        <v>90</v>
      </c>
      <c r="D20" s="2">
        <v>89</v>
      </c>
      <c r="E20" s="2">
        <v>80</v>
      </c>
      <c r="F20" s="2">
        <v>53</v>
      </c>
      <c r="G20" s="2">
        <v>76</v>
      </c>
      <c r="H20" s="2">
        <v>98</v>
      </c>
      <c r="I20" s="2">
        <v>96</v>
      </c>
      <c r="J20" s="2">
        <v>97</v>
      </c>
      <c r="K20" s="2">
        <v>98</v>
      </c>
      <c r="L20" s="2">
        <v>777</v>
      </c>
      <c r="M20" s="2" t="s">
        <v>11</v>
      </c>
    </row>
    <row r="21" spans="1:13" x14ac:dyDescent="0.3">
      <c r="A21" s="2" t="s">
        <v>49</v>
      </c>
      <c r="B21" s="2" t="s">
        <v>50</v>
      </c>
      <c r="C21" s="2">
        <v>67</v>
      </c>
      <c r="D21" s="2">
        <v>96</v>
      </c>
      <c r="E21" s="2">
        <v>77</v>
      </c>
      <c r="F21" s="2">
        <v>79</v>
      </c>
      <c r="G21" s="2">
        <v>89</v>
      </c>
      <c r="H21" s="2">
        <v>100</v>
      </c>
      <c r="I21" s="2">
        <v>99</v>
      </c>
      <c r="J21" s="2">
        <v>100</v>
      </c>
      <c r="K21" s="2">
        <v>100</v>
      </c>
      <c r="L21" s="2">
        <v>807</v>
      </c>
      <c r="M21" s="2" t="s">
        <v>11</v>
      </c>
    </row>
    <row r="22" spans="1:13" x14ac:dyDescent="0.3">
      <c r="A22" s="2" t="s">
        <v>51</v>
      </c>
      <c r="B22" s="2" t="s">
        <v>52</v>
      </c>
      <c r="C22" s="2">
        <v>99</v>
      </c>
      <c r="D22" s="2">
        <v>96</v>
      </c>
      <c r="E22" s="2">
        <v>96</v>
      </c>
      <c r="F22" s="2">
        <v>90</v>
      </c>
      <c r="G22" s="2">
        <v>84</v>
      </c>
      <c r="H22" s="2">
        <v>100</v>
      </c>
      <c r="I22" s="2">
        <v>100</v>
      </c>
      <c r="J22" s="2">
        <v>100</v>
      </c>
      <c r="K22" s="2">
        <v>100</v>
      </c>
      <c r="L22" s="2">
        <v>865</v>
      </c>
      <c r="M22" s="2" t="s">
        <v>11</v>
      </c>
    </row>
    <row r="23" spans="1:13" x14ac:dyDescent="0.3">
      <c r="A23" s="2" t="s">
        <v>53</v>
      </c>
      <c r="B23" s="2" t="s">
        <v>54</v>
      </c>
      <c r="C23" s="2">
        <v>91</v>
      </c>
      <c r="D23" s="2">
        <v>82</v>
      </c>
      <c r="E23" s="2">
        <v>90</v>
      </c>
      <c r="F23" s="2">
        <v>71</v>
      </c>
      <c r="G23" s="2">
        <v>76</v>
      </c>
      <c r="H23" s="2">
        <v>99</v>
      </c>
      <c r="I23" s="2">
        <v>97</v>
      </c>
      <c r="J23" s="2">
        <v>97</v>
      </c>
      <c r="K23" s="2">
        <v>97</v>
      </c>
      <c r="L23" s="2">
        <v>800</v>
      </c>
      <c r="M23" s="2" t="s">
        <v>11</v>
      </c>
    </row>
    <row r="24" spans="1:13" x14ac:dyDescent="0.3">
      <c r="A24" s="2" t="s">
        <v>55</v>
      </c>
      <c r="B24" s="2" t="s">
        <v>56</v>
      </c>
      <c r="C24" s="2">
        <v>84</v>
      </c>
      <c r="D24" s="2">
        <v>48</v>
      </c>
      <c r="E24" s="2">
        <v>75</v>
      </c>
      <c r="F24" s="2">
        <v>80</v>
      </c>
      <c r="G24" s="2">
        <v>74</v>
      </c>
      <c r="H24" s="2">
        <v>100</v>
      </c>
      <c r="I24" s="2">
        <v>100</v>
      </c>
      <c r="J24" s="2">
        <v>100</v>
      </c>
      <c r="K24" s="2">
        <v>100</v>
      </c>
      <c r="L24" s="2">
        <v>761</v>
      </c>
      <c r="M24" s="2" t="s">
        <v>11</v>
      </c>
    </row>
    <row r="25" spans="1:13" x14ac:dyDescent="0.3">
      <c r="A25" s="2" t="s">
        <v>57</v>
      </c>
      <c r="B25" s="2" t="s">
        <v>58</v>
      </c>
      <c r="C25" s="2">
        <v>12</v>
      </c>
      <c r="D25" s="2">
        <v>25</v>
      </c>
      <c r="E25" s="2">
        <v>39</v>
      </c>
      <c r="F25" s="2">
        <v>29</v>
      </c>
      <c r="G25" s="2">
        <v>53</v>
      </c>
      <c r="H25" s="2">
        <v>95</v>
      </c>
      <c r="I25" s="2">
        <v>94</v>
      </c>
      <c r="J25" s="2">
        <v>95</v>
      </c>
      <c r="K25" s="2">
        <v>94</v>
      </c>
      <c r="L25" s="2">
        <v>536</v>
      </c>
      <c r="M25" s="2" t="s">
        <v>26</v>
      </c>
    </row>
    <row r="26" spans="1:13" x14ac:dyDescent="0.3">
      <c r="A26" s="2" t="s">
        <v>59</v>
      </c>
      <c r="B26" s="2" t="s">
        <v>60</v>
      </c>
      <c r="C26" s="2">
        <v>38</v>
      </c>
      <c r="D26" s="2">
        <v>39</v>
      </c>
      <c r="E26" s="2">
        <v>59</v>
      </c>
      <c r="F26" s="2">
        <v>31</v>
      </c>
      <c r="G26" s="2">
        <v>59</v>
      </c>
      <c r="H26" s="2">
        <v>95</v>
      </c>
      <c r="I26" s="2">
        <v>94</v>
      </c>
      <c r="J26" s="2">
        <v>96</v>
      </c>
      <c r="K26" s="2">
        <v>93</v>
      </c>
      <c r="L26" s="2">
        <v>604</v>
      </c>
      <c r="M26" s="2" t="s">
        <v>26</v>
      </c>
    </row>
    <row r="27" spans="1:13" x14ac:dyDescent="0.3">
      <c r="A27" s="2" t="s">
        <v>61</v>
      </c>
      <c r="B27" s="2" t="s">
        <v>62</v>
      </c>
      <c r="C27" s="2">
        <v>66</v>
      </c>
      <c r="D27" s="2">
        <v>49</v>
      </c>
      <c r="E27" s="2">
        <v>47</v>
      </c>
      <c r="F27" s="2">
        <v>37</v>
      </c>
      <c r="G27" s="2">
        <v>56</v>
      </c>
      <c r="H27" s="2">
        <v>95</v>
      </c>
      <c r="I27" s="2">
        <v>95</v>
      </c>
      <c r="J27" s="2">
        <v>95</v>
      </c>
      <c r="K27" s="2">
        <v>94</v>
      </c>
      <c r="L27" s="2">
        <v>634</v>
      </c>
      <c r="M27" s="2" t="s">
        <v>11</v>
      </c>
    </row>
    <row r="28" spans="1:13" x14ac:dyDescent="0.3">
      <c r="A28" s="2" t="s">
        <v>63</v>
      </c>
      <c r="B28" s="2" t="s">
        <v>64</v>
      </c>
      <c r="C28" s="2">
        <v>68</v>
      </c>
      <c r="D28" s="2">
        <v>55</v>
      </c>
      <c r="E28" s="2">
        <v>60</v>
      </c>
      <c r="F28" s="2">
        <v>61</v>
      </c>
      <c r="G28" s="2">
        <v>87</v>
      </c>
      <c r="H28" s="2">
        <v>96</v>
      </c>
      <c r="I28" s="2">
        <v>95</v>
      </c>
      <c r="J28" s="2">
        <v>94</v>
      </c>
      <c r="K28" s="2">
        <v>95</v>
      </c>
      <c r="L28" s="2">
        <v>711</v>
      </c>
      <c r="M28" s="2" t="s">
        <v>11</v>
      </c>
    </row>
    <row r="29" spans="1:13" x14ac:dyDescent="0.3">
      <c r="A29" s="2" t="s">
        <v>65</v>
      </c>
      <c r="B29" s="2" t="s">
        <v>66</v>
      </c>
      <c r="C29" s="2">
        <v>80</v>
      </c>
      <c r="D29" s="2">
        <v>84</v>
      </c>
      <c r="E29" s="2">
        <v>91</v>
      </c>
      <c r="F29" s="2">
        <v>66</v>
      </c>
      <c r="G29" s="2">
        <v>85</v>
      </c>
      <c r="H29" s="2">
        <v>100</v>
      </c>
      <c r="I29" s="2">
        <v>100</v>
      </c>
      <c r="J29" s="2">
        <v>100</v>
      </c>
      <c r="K29" s="2">
        <v>100</v>
      </c>
      <c r="L29" s="2">
        <v>806</v>
      </c>
      <c r="M29" s="2" t="s">
        <v>11</v>
      </c>
    </row>
    <row r="30" spans="1:13" x14ac:dyDescent="0.3">
      <c r="A30" s="2" t="s">
        <v>67</v>
      </c>
      <c r="B30" s="2" t="s">
        <v>68</v>
      </c>
      <c r="C30" s="2">
        <v>64</v>
      </c>
      <c r="D30" s="2">
        <v>58</v>
      </c>
      <c r="E30" s="2">
        <v>59</v>
      </c>
      <c r="F30" s="2">
        <v>37</v>
      </c>
      <c r="G30" s="2">
        <v>61</v>
      </c>
      <c r="H30" s="2">
        <v>97</v>
      </c>
      <c r="I30" s="2">
        <v>95</v>
      </c>
      <c r="J30" s="2">
        <v>95</v>
      </c>
      <c r="K30" s="2">
        <v>95</v>
      </c>
      <c r="L30" s="2">
        <v>661</v>
      </c>
      <c r="M30" s="2" t="s">
        <v>11</v>
      </c>
    </row>
    <row r="31" spans="1:13" x14ac:dyDescent="0.3">
      <c r="A31" s="2" t="s">
        <v>69</v>
      </c>
      <c r="B31" s="2" t="s">
        <v>70</v>
      </c>
      <c r="C31" s="2">
        <v>19</v>
      </c>
      <c r="D31" s="2">
        <v>53</v>
      </c>
      <c r="E31" s="2">
        <v>53</v>
      </c>
      <c r="F31" s="2">
        <v>37</v>
      </c>
      <c r="G31" s="2">
        <v>45</v>
      </c>
      <c r="H31" s="2">
        <v>97</v>
      </c>
      <c r="I31" s="2">
        <v>95</v>
      </c>
      <c r="J31" s="2">
        <v>96</v>
      </c>
      <c r="K31" s="2">
        <v>96</v>
      </c>
      <c r="L31" s="2">
        <v>591</v>
      </c>
      <c r="M31" s="2" t="s">
        <v>26</v>
      </c>
    </row>
    <row r="32" spans="1:13" x14ac:dyDescent="0.3">
      <c r="A32" s="2" t="s">
        <v>71</v>
      </c>
      <c r="B32" s="2" t="s">
        <v>72</v>
      </c>
      <c r="C32" s="2">
        <v>59</v>
      </c>
      <c r="D32" s="2">
        <v>62</v>
      </c>
      <c r="E32" s="2">
        <v>71</v>
      </c>
      <c r="F32" s="2">
        <v>56</v>
      </c>
      <c r="G32" s="2">
        <v>79</v>
      </c>
      <c r="H32" s="2">
        <v>98</v>
      </c>
      <c r="I32" s="2">
        <v>96</v>
      </c>
      <c r="J32" s="2">
        <v>95</v>
      </c>
      <c r="K32" s="2">
        <v>96</v>
      </c>
      <c r="L32" s="2">
        <v>712</v>
      </c>
      <c r="M32" s="2" t="s">
        <v>11</v>
      </c>
    </row>
    <row r="33" spans="1:13" x14ac:dyDescent="0.3">
      <c r="A33" s="2" t="s">
        <v>73</v>
      </c>
      <c r="B33" s="2" t="s">
        <v>74</v>
      </c>
      <c r="C33" s="2">
        <v>72</v>
      </c>
      <c r="D33" s="2">
        <v>90</v>
      </c>
      <c r="E33" s="2">
        <v>80</v>
      </c>
      <c r="F33" s="2">
        <v>75</v>
      </c>
      <c r="G33" s="2">
        <v>80</v>
      </c>
      <c r="H33" s="2">
        <v>100</v>
      </c>
      <c r="I33" s="2">
        <v>99</v>
      </c>
      <c r="J33" s="2">
        <v>99</v>
      </c>
      <c r="K33" s="2">
        <v>100</v>
      </c>
      <c r="L33" s="2">
        <v>795</v>
      </c>
      <c r="M33" s="2" t="s">
        <v>11</v>
      </c>
    </row>
    <row r="34" spans="1:13" x14ac:dyDescent="0.3">
      <c r="A34" s="2" t="s">
        <v>75</v>
      </c>
      <c r="B34" s="2" t="s">
        <v>76</v>
      </c>
      <c r="C34" s="2">
        <v>52</v>
      </c>
      <c r="D34" s="2">
        <v>58</v>
      </c>
      <c r="E34" s="2">
        <v>67</v>
      </c>
      <c r="F34" s="2">
        <v>46</v>
      </c>
      <c r="G34" s="2">
        <v>94</v>
      </c>
      <c r="H34" s="2">
        <v>100</v>
      </c>
      <c r="I34" s="2">
        <v>99</v>
      </c>
      <c r="J34" s="2">
        <v>100</v>
      </c>
      <c r="K34" s="2">
        <v>100</v>
      </c>
      <c r="L34" s="2">
        <v>716</v>
      </c>
      <c r="M34" s="2" t="s">
        <v>11</v>
      </c>
    </row>
    <row r="35" spans="1:13" x14ac:dyDescent="0.3">
      <c r="A35" s="2" t="s">
        <v>77</v>
      </c>
      <c r="B35" s="2" t="s">
        <v>78</v>
      </c>
      <c r="C35" s="2">
        <v>47</v>
      </c>
      <c r="D35" s="2">
        <v>48</v>
      </c>
      <c r="E35" s="2">
        <v>44</v>
      </c>
      <c r="F35" s="2">
        <v>45</v>
      </c>
      <c r="G35" s="2">
        <v>88</v>
      </c>
      <c r="H35" s="2">
        <v>96</v>
      </c>
      <c r="I35" s="2">
        <v>93</v>
      </c>
      <c r="J35" s="2">
        <v>94</v>
      </c>
      <c r="K35" s="2">
        <v>95</v>
      </c>
      <c r="L35" s="2">
        <v>650</v>
      </c>
      <c r="M35" s="2" t="s">
        <v>11</v>
      </c>
    </row>
    <row r="36" spans="1:13" x14ac:dyDescent="0.3">
      <c r="A36" s="2" t="s">
        <v>79</v>
      </c>
      <c r="B36" s="2" t="s">
        <v>80</v>
      </c>
      <c r="C36" s="2">
        <v>38</v>
      </c>
      <c r="D36" s="2">
        <v>53</v>
      </c>
      <c r="E36" s="2">
        <v>49</v>
      </c>
      <c r="F36" s="2">
        <v>29</v>
      </c>
      <c r="G36" s="2">
        <v>85</v>
      </c>
      <c r="H36" s="2">
        <v>98</v>
      </c>
      <c r="I36" s="2">
        <v>98</v>
      </c>
      <c r="J36" s="2">
        <v>96</v>
      </c>
      <c r="K36" s="2">
        <v>98</v>
      </c>
      <c r="L36" s="2">
        <v>644</v>
      </c>
      <c r="M36" s="2" t="s">
        <v>26</v>
      </c>
    </row>
    <row r="37" spans="1:13" x14ac:dyDescent="0.3">
      <c r="A37" s="2" t="s">
        <v>81</v>
      </c>
      <c r="B37" s="2" t="s">
        <v>82</v>
      </c>
      <c r="C37" s="2">
        <v>90</v>
      </c>
      <c r="D37" s="2">
        <v>57</v>
      </c>
      <c r="E37" s="2">
        <v>60</v>
      </c>
      <c r="F37" s="2">
        <v>78</v>
      </c>
      <c r="G37" s="2">
        <v>88</v>
      </c>
      <c r="H37" s="2">
        <v>100</v>
      </c>
      <c r="I37" s="2">
        <v>100</v>
      </c>
      <c r="J37" s="2">
        <v>100</v>
      </c>
      <c r="K37" s="2">
        <v>99</v>
      </c>
      <c r="L37" s="2">
        <v>772</v>
      </c>
      <c r="M37" s="2" t="s">
        <v>11</v>
      </c>
    </row>
    <row r="38" spans="1:13" x14ac:dyDescent="0.3">
      <c r="A38" s="2" t="s">
        <v>83</v>
      </c>
      <c r="B38" s="2" t="s">
        <v>84</v>
      </c>
      <c r="C38" s="2">
        <v>93</v>
      </c>
      <c r="D38" s="2">
        <v>63</v>
      </c>
      <c r="E38" s="2">
        <v>69</v>
      </c>
      <c r="F38" s="2">
        <v>75</v>
      </c>
      <c r="G38" s="2">
        <v>84</v>
      </c>
      <c r="H38" s="2">
        <v>100</v>
      </c>
      <c r="I38" s="2">
        <v>98</v>
      </c>
      <c r="J38" s="2">
        <v>98</v>
      </c>
      <c r="K38" s="2">
        <v>100</v>
      </c>
      <c r="L38" s="2">
        <v>780</v>
      </c>
      <c r="M38" s="2" t="s">
        <v>11</v>
      </c>
    </row>
    <row r="39" spans="1:13" x14ac:dyDescent="0.3">
      <c r="A39" s="2" t="s">
        <v>85</v>
      </c>
      <c r="B39" s="2" t="s">
        <v>86</v>
      </c>
      <c r="C39" s="2">
        <v>80</v>
      </c>
      <c r="D39" s="2">
        <v>61</v>
      </c>
      <c r="E39" s="2">
        <v>55</v>
      </c>
      <c r="F39" s="2">
        <v>53</v>
      </c>
      <c r="G39" s="2">
        <v>71</v>
      </c>
      <c r="H39" s="2">
        <v>96</v>
      </c>
      <c r="I39" s="2">
        <v>96</v>
      </c>
      <c r="J39" s="2">
        <v>94</v>
      </c>
      <c r="K39" s="2">
        <v>95</v>
      </c>
      <c r="L39" s="2">
        <v>701</v>
      </c>
      <c r="M39" s="2" t="s">
        <v>11</v>
      </c>
    </row>
    <row r="40" spans="1:13" x14ac:dyDescent="0.3">
      <c r="A40" s="2" t="s">
        <v>87</v>
      </c>
      <c r="B40" s="2" t="s">
        <v>88</v>
      </c>
      <c r="C40" s="2">
        <v>81</v>
      </c>
      <c r="D40" s="2">
        <v>66</v>
      </c>
      <c r="E40" s="2">
        <v>54</v>
      </c>
      <c r="F40" s="2">
        <v>52</v>
      </c>
      <c r="G40" s="2">
        <v>74</v>
      </c>
      <c r="H40" s="2">
        <v>100</v>
      </c>
      <c r="I40" s="2">
        <v>99</v>
      </c>
      <c r="J40" s="2">
        <v>99</v>
      </c>
      <c r="K40" s="2">
        <v>99</v>
      </c>
      <c r="L40" s="2">
        <v>724</v>
      </c>
      <c r="M40" s="2" t="s">
        <v>11</v>
      </c>
    </row>
    <row r="41" spans="1:13" x14ac:dyDescent="0.3">
      <c r="A41" s="2" t="s">
        <v>89</v>
      </c>
      <c r="B41" s="2" t="s">
        <v>90</v>
      </c>
      <c r="C41" s="2">
        <v>58</v>
      </c>
      <c r="D41" s="2">
        <v>77</v>
      </c>
      <c r="E41" s="2">
        <v>77</v>
      </c>
      <c r="F41" s="2">
        <v>77</v>
      </c>
      <c r="G41" s="2">
        <v>77</v>
      </c>
      <c r="H41" s="2">
        <v>100</v>
      </c>
      <c r="I41" s="2">
        <v>98</v>
      </c>
      <c r="J41" s="2">
        <v>97</v>
      </c>
      <c r="K41" s="2">
        <v>97</v>
      </c>
      <c r="L41" s="2">
        <v>758</v>
      </c>
      <c r="M41" s="2" t="s">
        <v>11</v>
      </c>
    </row>
    <row r="42" spans="1:13" x14ac:dyDescent="0.3">
      <c r="A42" s="2" t="s">
        <v>91</v>
      </c>
      <c r="B42" s="2" t="s">
        <v>92</v>
      </c>
      <c r="C42" s="2">
        <v>79</v>
      </c>
      <c r="D42" s="2">
        <v>83</v>
      </c>
      <c r="E42" s="2">
        <v>83</v>
      </c>
      <c r="F42" s="2">
        <v>74</v>
      </c>
      <c r="G42" s="2">
        <v>81</v>
      </c>
      <c r="H42" s="2">
        <v>100</v>
      </c>
      <c r="I42" s="2">
        <v>100</v>
      </c>
      <c r="J42" s="2">
        <v>100</v>
      </c>
      <c r="K42" s="2">
        <v>100</v>
      </c>
      <c r="L42" s="2">
        <v>800</v>
      </c>
      <c r="M42" s="2" t="s">
        <v>11</v>
      </c>
    </row>
    <row r="43" spans="1:13" x14ac:dyDescent="0.3">
      <c r="A43" s="2" t="s">
        <v>93</v>
      </c>
      <c r="B43" s="2" t="s">
        <v>94</v>
      </c>
      <c r="C43" s="2">
        <v>84</v>
      </c>
      <c r="D43" s="2">
        <v>94</v>
      </c>
      <c r="E43" s="2">
        <v>84</v>
      </c>
      <c r="F43" s="2">
        <v>68</v>
      </c>
      <c r="G43" s="2">
        <v>89</v>
      </c>
      <c r="H43" s="2">
        <v>98</v>
      </c>
      <c r="I43" s="2">
        <v>97</v>
      </c>
      <c r="J43" s="2">
        <v>98</v>
      </c>
      <c r="K43" s="2">
        <v>98</v>
      </c>
      <c r="L43" s="2">
        <v>810</v>
      </c>
      <c r="M43" s="2" t="s">
        <v>11</v>
      </c>
    </row>
    <row r="44" spans="1:13" x14ac:dyDescent="0.3">
      <c r="A44" s="2" t="s">
        <v>95</v>
      </c>
      <c r="B44" s="2" t="s">
        <v>96</v>
      </c>
      <c r="C44" s="2">
        <v>40</v>
      </c>
      <c r="D44" s="2">
        <v>41</v>
      </c>
      <c r="E44" s="2">
        <v>50</v>
      </c>
      <c r="F44" s="2">
        <v>34</v>
      </c>
      <c r="G44" s="2">
        <v>68</v>
      </c>
      <c r="H44" s="2">
        <v>98</v>
      </c>
      <c r="I44" s="2">
        <v>96</v>
      </c>
      <c r="J44" s="2">
        <v>98</v>
      </c>
      <c r="K44" s="2">
        <v>96</v>
      </c>
      <c r="L44" s="2">
        <v>621</v>
      </c>
      <c r="M44" s="2" t="s">
        <v>26</v>
      </c>
    </row>
    <row r="45" spans="1:13" x14ac:dyDescent="0.3">
      <c r="A45" s="2" t="s">
        <v>97</v>
      </c>
      <c r="B45" s="2" t="s">
        <v>98</v>
      </c>
      <c r="C45" s="2">
        <v>65</v>
      </c>
      <c r="D45" s="2">
        <v>57</v>
      </c>
      <c r="E45" s="2">
        <v>45</v>
      </c>
      <c r="F45" s="2">
        <v>48</v>
      </c>
      <c r="G45" s="2">
        <v>64</v>
      </c>
      <c r="H45" s="2">
        <v>100</v>
      </c>
      <c r="I45" s="2">
        <v>96</v>
      </c>
      <c r="J45" s="2">
        <v>96</v>
      </c>
      <c r="K45" s="2">
        <v>96</v>
      </c>
      <c r="L45" s="2">
        <v>667</v>
      </c>
      <c r="M45" s="2" t="s">
        <v>11</v>
      </c>
    </row>
    <row r="46" spans="1:13" x14ac:dyDescent="0.3">
      <c r="A46" s="2" t="s">
        <v>99</v>
      </c>
      <c r="B46" s="2" t="s">
        <v>100</v>
      </c>
      <c r="C46" s="2">
        <v>24</v>
      </c>
      <c r="D46" s="2">
        <v>20</v>
      </c>
      <c r="E46" s="2">
        <v>56</v>
      </c>
      <c r="F46" s="2">
        <v>17</v>
      </c>
      <c r="G46" s="2">
        <v>62</v>
      </c>
      <c r="H46" s="2">
        <v>96</v>
      </c>
      <c r="I46" s="2">
        <v>93</v>
      </c>
      <c r="J46" s="2">
        <v>94</v>
      </c>
      <c r="K46" s="2">
        <v>95</v>
      </c>
      <c r="L46" s="2">
        <v>557</v>
      </c>
      <c r="M46" s="2" t="s">
        <v>26</v>
      </c>
    </row>
    <row r="47" spans="1:13" x14ac:dyDescent="0.3">
      <c r="A47" s="2" t="s">
        <v>101</v>
      </c>
      <c r="B47" s="2" t="s">
        <v>102</v>
      </c>
      <c r="C47" s="2">
        <v>32</v>
      </c>
      <c r="D47" s="2">
        <v>30</v>
      </c>
      <c r="E47" s="2">
        <v>44</v>
      </c>
      <c r="F47" s="2">
        <v>39</v>
      </c>
      <c r="G47" s="2">
        <v>45</v>
      </c>
      <c r="H47" s="2">
        <v>98</v>
      </c>
      <c r="I47" s="2">
        <v>97</v>
      </c>
      <c r="J47" s="2">
        <v>97</v>
      </c>
      <c r="K47" s="2">
        <v>96</v>
      </c>
      <c r="L47" s="2">
        <v>578</v>
      </c>
      <c r="M47" s="2" t="s">
        <v>26</v>
      </c>
    </row>
    <row r="48" spans="1:13" x14ac:dyDescent="0.3">
      <c r="A48" s="2" t="s">
        <v>103</v>
      </c>
      <c r="B48" s="2" t="s">
        <v>104</v>
      </c>
      <c r="C48" s="2">
        <v>78</v>
      </c>
      <c r="D48" s="2">
        <v>90</v>
      </c>
      <c r="E48" s="2">
        <v>80</v>
      </c>
      <c r="F48" s="2">
        <v>88</v>
      </c>
      <c r="G48" s="2">
        <v>78</v>
      </c>
      <c r="H48" s="2">
        <v>96</v>
      </c>
      <c r="I48" s="2">
        <v>96</v>
      </c>
      <c r="J48" s="2">
        <v>96</v>
      </c>
      <c r="K48" s="2">
        <v>94</v>
      </c>
      <c r="L48" s="2">
        <v>796</v>
      </c>
      <c r="M48" s="2" t="s">
        <v>11</v>
      </c>
    </row>
    <row r="49" spans="1:13" x14ac:dyDescent="0.3">
      <c r="A49" s="2" t="s">
        <v>105</v>
      </c>
      <c r="B49" s="2" t="s">
        <v>106</v>
      </c>
      <c r="C49" s="2">
        <v>73</v>
      </c>
      <c r="D49" s="2">
        <v>56</v>
      </c>
      <c r="E49" s="2">
        <v>52</v>
      </c>
      <c r="F49" s="2">
        <v>72</v>
      </c>
      <c r="G49" s="2">
        <v>71</v>
      </c>
      <c r="H49" s="2">
        <v>97</v>
      </c>
      <c r="I49" s="2">
        <v>97</v>
      </c>
      <c r="J49" s="2">
        <v>96</v>
      </c>
      <c r="K49" s="2">
        <v>95</v>
      </c>
      <c r="L49" s="2">
        <v>709</v>
      </c>
      <c r="M49" s="2" t="s">
        <v>11</v>
      </c>
    </row>
    <row r="50" spans="1:13" x14ac:dyDescent="0.3">
      <c r="A50" s="2" t="s">
        <v>107</v>
      </c>
      <c r="B50" s="2" t="s">
        <v>108</v>
      </c>
      <c r="C50" s="2">
        <v>96</v>
      </c>
      <c r="D50" s="2">
        <v>78</v>
      </c>
      <c r="E50" s="2">
        <v>92</v>
      </c>
      <c r="F50" s="2">
        <v>90</v>
      </c>
      <c r="G50" s="2">
        <v>85</v>
      </c>
      <c r="H50" s="2">
        <v>100</v>
      </c>
      <c r="I50" s="2">
        <v>100</v>
      </c>
      <c r="J50" s="2">
        <v>100</v>
      </c>
      <c r="K50" s="2">
        <v>100</v>
      </c>
      <c r="L50" s="2">
        <v>841</v>
      </c>
      <c r="M50" s="2" t="s">
        <v>11</v>
      </c>
    </row>
    <row r="51" spans="1:13" x14ac:dyDescent="0.3">
      <c r="A51" s="2" t="s">
        <v>109</v>
      </c>
      <c r="B51" s="2" t="s">
        <v>110</v>
      </c>
      <c r="C51" s="2">
        <v>58</v>
      </c>
      <c r="D51" s="2">
        <v>80</v>
      </c>
      <c r="E51" s="2">
        <v>77</v>
      </c>
      <c r="F51" s="2">
        <v>72</v>
      </c>
      <c r="G51" s="2">
        <v>85</v>
      </c>
      <c r="H51" s="2">
        <v>97</v>
      </c>
      <c r="I51" s="2">
        <v>98</v>
      </c>
      <c r="J51" s="2">
        <v>97</v>
      </c>
      <c r="K51" s="2">
        <v>96</v>
      </c>
      <c r="L51" s="2">
        <v>760</v>
      </c>
      <c r="M51" s="2" t="s">
        <v>11</v>
      </c>
    </row>
    <row r="52" spans="1:13" x14ac:dyDescent="0.3">
      <c r="A52" s="2" t="s">
        <v>111</v>
      </c>
      <c r="B52" s="2" t="s">
        <v>112</v>
      </c>
      <c r="C52" s="2">
        <v>77</v>
      </c>
      <c r="D52" s="2">
        <v>46</v>
      </c>
      <c r="E52" s="2">
        <v>58</v>
      </c>
      <c r="F52" s="2">
        <v>35</v>
      </c>
      <c r="G52" s="2">
        <v>60</v>
      </c>
      <c r="H52" s="2">
        <v>98</v>
      </c>
      <c r="I52" s="2">
        <v>96</v>
      </c>
      <c r="J52" s="2">
        <v>96</v>
      </c>
      <c r="K52" s="2">
        <v>95</v>
      </c>
      <c r="L52" s="2">
        <v>661</v>
      </c>
      <c r="M52" s="2" t="s">
        <v>26</v>
      </c>
    </row>
    <row r="53" spans="1:13" x14ac:dyDescent="0.3">
      <c r="A53" s="2" t="s">
        <v>113</v>
      </c>
      <c r="B53" s="2" t="s">
        <v>114</v>
      </c>
      <c r="C53" s="2">
        <v>60</v>
      </c>
      <c r="D53" s="2">
        <v>40</v>
      </c>
      <c r="E53" s="2">
        <v>55</v>
      </c>
      <c r="F53" s="2">
        <v>47</v>
      </c>
      <c r="G53" s="2">
        <v>65</v>
      </c>
      <c r="H53" s="2">
        <v>97</v>
      </c>
      <c r="I53" s="2">
        <v>97</v>
      </c>
      <c r="J53" s="2">
        <v>96</v>
      </c>
      <c r="K53" s="2">
        <v>96</v>
      </c>
      <c r="L53" s="2">
        <v>653</v>
      </c>
      <c r="M53" s="2" t="s">
        <v>11</v>
      </c>
    </row>
    <row r="54" spans="1:13" x14ac:dyDescent="0.3">
      <c r="A54" s="2" t="s">
        <v>115</v>
      </c>
      <c r="B54" s="2" t="s">
        <v>116</v>
      </c>
      <c r="C54" s="2">
        <v>75</v>
      </c>
      <c r="D54" s="2">
        <v>70</v>
      </c>
      <c r="E54" s="2">
        <v>86</v>
      </c>
      <c r="F54" s="2">
        <v>85</v>
      </c>
      <c r="G54" s="2">
        <v>91</v>
      </c>
      <c r="H54" s="2">
        <v>97</v>
      </c>
      <c r="I54" s="2">
        <v>96</v>
      </c>
      <c r="J54" s="2">
        <v>95</v>
      </c>
      <c r="K54" s="2">
        <v>96</v>
      </c>
      <c r="L54" s="2">
        <v>791</v>
      </c>
      <c r="M54" s="2" t="s">
        <v>11</v>
      </c>
    </row>
    <row r="55" spans="1:13" x14ac:dyDescent="0.3">
      <c r="A55" s="2" t="s">
        <v>117</v>
      </c>
      <c r="B55" s="2" t="s">
        <v>118</v>
      </c>
      <c r="C55" s="2">
        <v>96</v>
      </c>
      <c r="D55" s="2">
        <v>97</v>
      </c>
      <c r="E55" s="2">
        <v>97</v>
      </c>
      <c r="F55" s="2">
        <v>89</v>
      </c>
      <c r="G55" s="2">
        <v>91</v>
      </c>
      <c r="H55" s="2">
        <v>100</v>
      </c>
      <c r="I55" s="2">
        <v>99</v>
      </c>
      <c r="J55" s="2">
        <v>99</v>
      </c>
      <c r="K55" s="2">
        <v>99</v>
      </c>
      <c r="L55" s="2">
        <v>867</v>
      </c>
      <c r="M55" s="2" t="s">
        <v>11</v>
      </c>
    </row>
    <row r="56" spans="1:13" x14ac:dyDescent="0.3">
      <c r="A56" s="2" t="s">
        <v>119</v>
      </c>
      <c r="B56" s="2" t="s">
        <v>120</v>
      </c>
      <c r="C56" s="2">
        <v>82</v>
      </c>
      <c r="D56" s="2">
        <v>68</v>
      </c>
      <c r="E56" s="2">
        <v>66</v>
      </c>
      <c r="F56" s="2">
        <v>66</v>
      </c>
      <c r="G56" s="2">
        <v>82</v>
      </c>
      <c r="H56" s="2">
        <v>97</v>
      </c>
      <c r="I56" s="2">
        <v>97</v>
      </c>
      <c r="J56" s="2">
        <v>97</v>
      </c>
      <c r="K56" s="2">
        <v>97</v>
      </c>
      <c r="L56" s="2">
        <v>752</v>
      </c>
      <c r="M56" s="2" t="s">
        <v>11</v>
      </c>
    </row>
    <row r="57" spans="1:13" x14ac:dyDescent="0.3">
      <c r="A57" s="2" t="s">
        <v>121</v>
      </c>
      <c r="B57" s="2" t="s">
        <v>122</v>
      </c>
      <c r="C57" s="2">
        <v>60</v>
      </c>
      <c r="D57" s="2">
        <v>69</v>
      </c>
      <c r="E57" s="2">
        <v>68</v>
      </c>
      <c r="F57" s="2">
        <v>50</v>
      </c>
      <c r="G57" s="2">
        <v>84</v>
      </c>
      <c r="H57" s="2">
        <v>99</v>
      </c>
      <c r="I57" s="2">
        <v>97</v>
      </c>
      <c r="J57" s="2">
        <v>97</v>
      </c>
      <c r="K57" s="2">
        <v>97</v>
      </c>
      <c r="L57" s="2">
        <v>721</v>
      </c>
      <c r="M57" s="2" t="s">
        <v>11</v>
      </c>
    </row>
    <row r="58" spans="1:13" x14ac:dyDescent="0.3">
      <c r="A58" s="2" t="s">
        <v>123</v>
      </c>
      <c r="B58" s="2" t="s">
        <v>124</v>
      </c>
      <c r="C58" s="2">
        <v>51</v>
      </c>
      <c r="D58" s="2">
        <v>46</v>
      </c>
      <c r="E58" s="2">
        <v>64</v>
      </c>
      <c r="F58" s="2">
        <v>48</v>
      </c>
      <c r="G58" s="2">
        <v>81</v>
      </c>
      <c r="H58" s="2">
        <v>97</v>
      </c>
      <c r="I58" s="2">
        <v>98</v>
      </c>
      <c r="J58" s="2">
        <v>97</v>
      </c>
      <c r="K58" s="2">
        <v>96</v>
      </c>
      <c r="L58" s="2">
        <v>678</v>
      </c>
      <c r="M58" s="2" t="s">
        <v>11</v>
      </c>
    </row>
    <row r="59" spans="1:13" x14ac:dyDescent="0.3">
      <c r="A59" s="2" t="s">
        <v>125</v>
      </c>
      <c r="B59" s="2" t="s">
        <v>126</v>
      </c>
      <c r="C59" s="2">
        <v>51</v>
      </c>
      <c r="D59" s="2">
        <v>67</v>
      </c>
      <c r="E59" s="2">
        <v>43</v>
      </c>
      <c r="F59" s="2">
        <v>35</v>
      </c>
      <c r="G59" s="2">
        <v>55</v>
      </c>
      <c r="H59" s="2">
        <v>98</v>
      </c>
      <c r="I59" s="2">
        <v>97</v>
      </c>
      <c r="J59" s="2">
        <v>98</v>
      </c>
      <c r="K59" s="2">
        <v>97</v>
      </c>
      <c r="L59" s="2">
        <v>641</v>
      </c>
      <c r="M59" s="2" t="s">
        <v>26</v>
      </c>
    </row>
    <row r="60" spans="1:13" x14ac:dyDescent="0.3">
      <c r="A60" s="2" t="s">
        <v>127</v>
      </c>
      <c r="B60" s="2" t="s">
        <v>128</v>
      </c>
      <c r="C60" s="2">
        <v>90</v>
      </c>
      <c r="D60" s="2">
        <v>98</v>
      </c>
      <c r="E60" s="2">
        <v>100</v>
      </c>
      <c r="F60" s="2">
        <v>91</v>
      </c>
      <c r="G60" s="2">
        <v>98</v>
      </c>
      <c r="H60" s="2">
        <v>100</v>
      </c>
      <c r="I60" s="2">
        <v>100</v>
      </c>
      <c r="J60" s="2">
        <v>100</v>
      </c>
      <c r="K60" s="2">
        <v>100</v>
      </c>
      <c r="L60" s="2">
        <v>877</v>
      </c>
      <c r="M60" s="2" t="s">
        <v>11</v>
      </c>
    </row>
    <row r="61" spans="1:13" x14ac:dyDescent="0.3">
      <c r="A61" s="2" t="s">
        <v>129</v>
      </c>
      <c r="B61" s="2" t="s">
        <v>130</v>
      </c>
      <c r="C61" s="2">
        <v>24</v>
      </c>
      <c r="D61" s="2">
        <v>54</v>
      </c>
      <c r="E61" s="2">
        <v>39</v>
      </c>
      <c r="F61" s="2">
        <v>28</v>
      </c>
      <c r="G61" s="2">
        <v>60</v>
      </c>
      <c r="H61" s="2">
        <v>97</v>
      </c>
      <c r="I61" s="2">
        <v>95</v>
      </c>
      <c r="J61" s="2">
        <v>96</v>
      </c>
      <c r="K61" s="2">
        <v>95</v>
      </c>
      <c r="L61" s="2">
        <v>588</v>
      </c>
      <c r="M61" s="2" t="s">
        <v>26</v>
      </c>
    </row>
    <row r="62" spans="1:13" x14ac:dyDescent="0.3">
      <c r="A62" s="2" t="s">
        <v>131</v>
      </c>
      <c r="B62" s="2" t="s">
        <v>132</v>
      </c>
      <c r="C62" s="2">
        <v>65</v>
      </c>
      <c r="D62" s="2">
        <v>35</v>
      </c>
      <c r="E62" s="2">
        <v>45</v>
      </c>
      <c r="F62" s="2">
        <v>45</v>
      </c>
      <c r="G62" s="2">
        <v>41</v>
      </c>
      <c r="H62" s="2">
        <v>97</v>
      </c>
      <c r="I62" s="2">
        <v>98</v>
      </c>
      <c r="J62" s="2">
        <v>98</v>
      </c>
      <c r="K62" s="2">
        <v>98</v>
      </c>
      <c r="L62" s="2">
        <v>622</v>
      </c>
      <c r="M62" s="2" t="s">
        <v>26</v>
      </c>
    </row>
    <row r="63" spans="1:13" x14ac:dyDescent="0.3">
      <c r="A63" s="2" t="s">
        <v>133</v>
      </c>
      <c r="B63" s="2" t="s">
        <v>134</v>
      </c>
      <c r="C63" s="2">
        <v>60</v>
      </c>
      <c r="D63" s="2">
        <v>54</v>
      </c>
      <c r="E63" s="2">
        <v>72</v>
      </c>
      <c r="F63" s="2">
        <v>58</v>
      </c>
      <c r="G63" s="2">
        <v>62</v>
      </c>
      <c r="H63" s="2">
        <v>100</v>
      </c>
      <c r="I63" s="2">
        <v>98</v>
      </c>
      <c r="J63" s="2">
        <v>99</v>
      </c>
      <c r="K63" s="2">
        <v>100</v>
      </c>
      <c r="L63" s="2">
        <v>703</v>
      </c>
      <c r="M63" s="2" t="s">
        <v>11</v>
      </c>
    </row>
    <row r="64" spans="1:13" x14ac:dyDescent="0.3">
      <c r="A64" s="2" t="s">
        <v>135</v>
      </c>
      <c r="B64" s="2" t="s">
        <v>136</v>
      </c>
      <c r="C64" s="2">
        <v>100</v>
      </c>
      <c r="D64" s="2">
        <v>89</v>
      </c>
      <c r="E64" s="2">
        <v>95</v>
      </c>
      <c r="F64" s="2">
        <v>98</v>
      </c>
      <c r="G64" s="2">
        <v>92</v>
      </c>
      <c r="H64" s="2">
        <v>100</v>
      </c>
      <c r="I64" s="2">
        <v>100</v>
      </c>
      <c r="J64" s="2">
        <v>100</v>
      </c>
      <c r="K64" s="2">
        <v>100</v>
      </c>
      <c r="L64" s="2">
        <v>874</v>
      </c>
      <c r="M64" s="2" t="s">
        <v>11</v>
      </c>
    </row>
    <row r="65" spans="1:13" x14ac:dyDescent="0.3">
      <c r="A65" s="2" t="s">
        <v>137</v>
      </c>
      <c r="B65" s="2" t="s">
        <v>138</v>
      </c>
      <c r="C65" s="2">
        <v>94</v>
      </c>
      <c r="D65" s="2">
        <v>57</v>
      </c>
      <c r="E65" s="2">
        <v>70</v>
      </c>
      <c r="F65" s="2">
        <v>52</v>
      </c>
      <c r="G65" s="2">
        <v>74</v>
      </c>
      <c r="H65" s="2">
        <v>96</v>
      </c>
      <c r="I65" s="2">
        <v>94</v>
      </c>
      <c r="J65" s="2">
        <v>96</v>
      </c>
      <c r="K65" s="2">
        <v>96</v>
      </c>
      <c r="L65" s="2">
        <v>729</v>
      </c>
      <c r="M65" s="2" t="s">
        <v>11</v>
      </c>
    </row>
    <row r="66" spans="1:13" x14ac:dyDescent="0.3">
      <c r="A66" s="2" t="s">
        <v>139</v>
      </c>
      <c r="B66" s="2" t="s">
        <v>140</v>
      </c>
      <c r="C66" s="2">
        <v>64</v>
      </c>
      <c r="D66" s="2">
        <v>62</v>
      </c>
      <c r="E66" s="2">
        <v>50</v>
      </c>
      <c r="F66" s="2">
        <v>43</v>
      </c>
      <c r="G66" s="2">
        <v>57</v>
      </c>
      <c r="H66" s="2">
        <v>98</v>
      </c>
      <c r="I66" s="2">
        <v>97</v>
      </c>
      <c r="J66" s="2">
        <v>96</v>
      </c>
      <c r="K66" s="2">
        <v>97</v>
      </c>
      <c r="L66" s="2">
        <v>664</v>
      </c>
      <c r="M66" s="2" t="s">
        <v>11</v>
      </c>
    </row>
    <row r="67" spans="1:13" x14ac:dyDescent="0.3">
      <c r="A67" s="2" t="s">
        <v>141</v>
      </c>
      <c r="B67" s="2" t="s">
        <v>142</v>
      </c>
      <c r="C67" s="2">
        <v>100</v>
      </c>
      <c r="D67" s="2">
        <v>97</v>
      </c>
      <c r="E67" s="2">
        <v>94</v>
      </c>
      <c r="F67" s="2">
        <v>88</v>
      </c>
      <c r="G67" s="2">
        <v>99</v>
      </c>
      <c r="H67" s="2">
        <v>100</v>
      </c>
      <c r="I67" s="2">
        <v>100</v>
      </c>
      <c r="J67" s="2">
        <v>100</v>
      </c>
      <c r="K67" s="2">
        <v>100</v>
      </c>
      <c r="L67" s="2">
        <v>878</v>
      </c>
      <c r="M67" s="2" t="s">
        <v>11</v>
      </c>
    </row>
    <row r="68" spans="1:13" x14ac:dyDescent="0.3">
      <c r="A68" s="2" t="s">
        <v>143</v>
      </c>
      <c r="B68" s="2" t="s">
        <v>144</v>
      </c>
      <c r="C68" s="2">
        <v>98</v>
      </c>
      <c r="D68" s="2">
        <v>92</v>
      </c>
      <c r="E68" s="2">
        <v>98</v>
      </c>
      <c r="F68" s="2">
        <v>90</v>
      </c>
      <c r="G68" s="2">
        <v>99</v>
      </c>
      <c r="H68" s="2">
        <v>100</v>
      </c>
      <c r="I68" s="2">
        <v>100</v>
      </c>
      <c r="J68" s="2">
        <v>100</v>
      </c>
      <c r="K68" s="2">
        <v>100</v>
      </c>
      <c r="L68" s="2">
        <v>877</v>
      </c>
      <c r="M68" s="2" t="s">
        <v>11</v>
      </c>
    </row>
    <row r="69" spans="1:13" x14ac:dyDescent="0.3">
      <c r="A69" s="2" t="s">
        <v>145</v>
      </c>
      <c r="B69" s="2" t="s">
        <v>146</v>
      </c>
      <c r="C69" s="2">
        <v>83</v>
      </c>
      <c r="D69" s="2">
        <v>57</v>
      </c>
      <c r="E69" s="2">
        <v>70</v>
      </c>
      <c r="F69" s="2">
        <v>45</v>
      </c>
      <c r="G69" s="2">
        <v>64</v>
      </c>
      <c r="H69" s="2">
        <v>100</v>
      </c>
      <c r="I69" s="2">
        <v>98</v>
      </c>
      <c r="J69" s="2">
        <v>97</v>
      </c>
      <c r="K69" s="2">
        <v>98</v>
      </c>
      <c r="L69" s="2">
        <v>712</v>
      </c>
      <c r="M69" s="2" t="s">
        <v>11</v>
      </c>
    </row>
    <row r="70" spans="1:13" x14ac:dyDescent="0.3">
      <c r="A70" s="2" t="s">
        <v>147</v>
      </c>
      <c r="B70" s="2" t="s">
        <v>148</v>
      </c>
      <c r="C70" s="2">
        <v>96</v>
      </c>
      <c r="D70" s="2">
        <v>82</v>
      </c>
      <c r="E70" s="2">
        <v>98</v>
      </c>
      <c r="F70" s="2">
        <v>93</v>
      </c>
      <c r="G70" s="2">
        <v>87</v>
      </c>
      <c r="H70" s="2">
        <v>100</v>
      </c>
      <c r="I70" s="2">
        <v>100</v>
      </c>
      <c r="J70" s="2">
        <v>99</v>
      </c>
      <c r="K70" s="2">
        <v>99</v>
      </c>
      <c r="L70" s="2">
        <v>854</v>
      </c>
      <c r="M70" s="2" t="s">
        <v>11</v>
      </c>
    </row>
    <row r="71" spans="1:13" x14ac:dyDescent="0.3">
      <c r="A71" s="2" t="s">
        <v>149</v>
      </c>
      <c r="B71" s="2" t="s">
        <v>150</v>
      </c>
      <c r="C71" s="2">
        <v>100</v>
      </c>
      <c r="D71" s="2">
        <v>96</v>
      </c>
      <c r="E71" s="2">
        <v>83</v>
      </c>
      <c r="F71" s="2">
        <v>94</v>
      </c>
      <c r="G71" s="2">
        <v>86</v>
      </c>
      <c r="H71" s="2">
        <v>100</v>
      </c>
      <c r="I71" s="2">
        <v>100</v>
      </c>
      <c r="J71" s="2">
        <v>100</v>
      </c>
      <c r="K71" s="2">
        <v>100</v>
      </c>
      <c r="L71" s="2">
        <v>859</v>
      </c>
      <c r="M71" s="2" t="s">
        <v>11</v>
      </c>
    </row>
    <row r="72" spans="1:13" x14ac:dyDescent="0.3">
      <c r="A72" s="2" t="s">
        <v>151</v>
      </c>
      <c r="B72" s="2" t="s">
        <v>152</v>
      </c>
      <c r="C72" s="2">
        <v>66</v>
      </c>
      <c r="D72" s="2">
        <v>55</v>
      </c>
      <c r="E72" s="2">
        <v>72</v>
      </c>
      <c r="F72" s="2">
        <v>71</v>
      </c>
      <c r="G72" s="2">
        <v>71</v>
      </c>
      <c r="H72" s="2">
        <v>96</v>
      </c>
      <c r="I72" s="2">
        <v>95</v>
      </c>
      <c r="J72" s="2">
        <v>95</v>
      </c>
      <c r="K72" s="2">
        <v>95</v>
      </c>
      <c r="L72" s="2">
        <v>716</v>
      </c>
      <c r="M72" s="2" t="s">
        <v>11</v>
      </c>
    </row>
    <row r="73" spans="1:13" x14ac:dyDescent="0.3">
      <c r="A73" s="2" t="s">
        <v>153</v>
      </c>
      <c r="B73" s="2" t="s">
        <v>154</v>
      </c>
      <c r="C73" s="2">
        <v>82</v>
      </c>
      <c r="D73" s="2">
        <v>89</v>
      </c>
      <c r="E73" s="2">
        <v>78</v>
      </c>
      <c r="F73" s="2">
        <v>77</v>
      </c>
      <c r="G73" s="2">
        <v>79</v>
      </c>
      <c r="H73" s="2">
        <v>100</v>
      </c>
      <c r="I73" s="2">
        <v>100</v>
      </c>
      <c r="J73" s="2">
        <v>100</v>
      </c>
      <c r="K73" s="2">
        <v>100</v>
      </c>
      <c r="L73" s="2">
        <v>805</v>
      </c>
      <c r="M73" s="2" t="s">
        <v>11</v>
      </c>
    </row>
    <row r="74" spans="1:13" x14ac:dyDescent="0.3">
      <c r="A74" s="2" t="s">
        <v>155</v>
      </c>
      <c r="B74" s="2" t="s">
        <v>156</v>
      </c>
      <c r="C74" s="2">
        <v>96</v>
      </c>
      <c r="D74" s="2">
        <v>77</v>
      </c>
      <c r="E74" s="2">
        <v>84</v>
      </c>
      <c r="F74" s="2">
        <v>85</v>
      </c>
      <c r="G74" s="2">
        <v>76</v>
      </c>
      <c r="H74" s="2">
        <v>100</v>
      </c>
      <c r="I74" s="2">
        <v>100</v>
      </c>
      <c r="J74" s="2">
        <v>100</v>
      </c>
      <c r="K74" s="2">
        <v>100</v>
      </c>
      <c r="L74" s="2">
        <v>818</v>
      </c>
      <c r="M74" s="2" t="s">
        <v>11</v>
      </c>
    </row>
    <row r="75" spans="1:13" x14ac:dyDescent="0.3">
      <c r="A75" s="2" t="s">
        <v>157</v>
      </c>
      <c r="B75" s="2" t="s">
        <v>158</v>
      </c>
      <c r="C75" s="2">
        <v>52</v>
      </c>
      <c r="D75" s="2">
        <v>42</v>
      </c>
      <c r="E75" s="2">
        <v>57</v>
      </c>
      <c r="F75" s="2">
        <v>43</v>
      </c>
      <c r="G75" s="2">
        <v>64</v>
      </c>
      <c r="H75" s="2">
        <v>97</v>
      </c>
      <c r="I75" s="2">
        <v>95</v>
      </c>
      <c r="J75" s="2">
        <v>97</v>
      </c>
      <c r="K75" s="2">
        <v>95</v>
      </c>
      <c r="L75" s="2">
        <v>642</v>
      </c>
      <c r="M75" s="2" t="s">
        <v>11</v>
      </c>
    </row>
    <row r="76" spans="1:13" x14ac:dyDescent="0.3">
      <c r="A76" s="2" t="s">
        <v>159</v>
      </c>
      <c r="B76" s="2" t="s">
        <v>160</v>
      </c>
      <c r="C76" s="2">
        <v>19</v>
      </c>
      <c r="D76" s="2">
        <v>59</v>
      </c>
      <c r="E76" s="2">
        <v>25</v>
      </c>
      <c r="F76" s="2">
        <v>41</v>
      </c>
      <c r="G76" s="2">
        <v>60</v>
      </c>
      <c r="H76" s="2">
        <v>100</v>
      </c>
      <c r="I76" s="2">
        <v>98</v>
      </c>
      <c r="J76" s="2">
        <v>97</v>
      </c>
      <c r="K76" s="2">
        <v>98</v>
      </c>
      <c r="L76" s="2">
        <v>597</v>
      </c>
      <c r="M76" s="2" t="s">
        <v>26</v>
      </c>
    </row>
    <row r="77" spans="1:13" x14ac:dyDescent="0.3">
      <c r="A77" s="2" t="s">
        <v>161</v>
      </c>
      <c r="B77" s="2" t="s">
        <v>162</v>
      </c>
      <c r="C77" s="2">
        <v>97</v>
      </c>
      <c r="D77" s="2">
        <v>92</v>
      </c>
      <c r="E77" s="2">
        <v>97</v>
      </c>
      <c r="F77" s="2">
        <v>95</v>
      </c>
      <c r="G77" s="2">
        <v>100</v>
      </c>
      <c r="H77" s="2">
        <v>100</v>
      </c>
      <c r="I77" s="2">
        <v>100</v>
      </c>
      <c r="J77" s="2">
        <v>100</v>
      </c>
      <c r="K77" s="2">
        <v>100</v>
      </c>
      <c r="L77" s="2">
        <v>881</v>
      </c>
      <c r="M77" s="2" t="s">
        <v>11</v>
      </c>
    </row>
    <row r="78" spans="1:13" x14ac:dyDescent="0.3">
      <c r="A78" s="2" t="s">
        <v>163</v>
      </c>
      <c r="B78" s="2" t="s">
        <v>164</v>
      </c>
      <c r="C78" s="2">
        <v>65</v>
      </c>
      <c r="D78" s="2">
        <v>44</v>
      </c>
      <c r="E78" s="2">
        <v>49</v>
      </c>
      <c r="F78" s="2">
        <v>44</v>
      </c>
      <c r="G78" s="2">
        <v>82</v>
      </c>
      <c r="H78" s="2">
        <v>96</v>
      </c>
      <c r="I78" s="2">
        <v>94</v>
      </c>
      <c r="J78" s="2">
        <v>96</v>
      </c>
      <c r="K78" s="2">
        <v>96</v>
      </c>
      <c r="L78" s="2">
        <v>666</v>
      </c>
      <c r="M78" s="2" t="s">
        <v>11</v>
      </c>
    </row>
    <row r="79" spans="1:13" x14ac:dyDescent="0.3">
      <c r="A79" s="2" t="s">
        <v>165</v>
      </c>
      <c r="B79" s="2" t="s">
        <v>166</v>
      </c>
      <c r="C79" s="2">
        <v>95</v>
      </c>
      <c r="D79" s="2">
        <v>69</v>
      </c>
      <c r="E79" s="2">
        <v>67</v>
      </c>
      <c r="F79" s="2">
        <v>67</v>
      </c>
      <c r="G79" s="2">
        <v>86</v>
      </c>
      <c r="H79" s="2">
        <v>98</v>
      </c>
      <c r="I79" s="2">
        <v>98</v>
      </c>
      <c r="J79" s="2">
        <v>98</v>
      </c>
      <c r="K79" s="2">
        <v>98</v>
      </c>
      <c r="L79" s="2">
        <v>776</v>
      </c>
      <c r="M79" s="2" t="s">
        <v>11</v>
      </c>
    </row>
    <row r="80" spans="1:13" x14ac:dyDescent="0.3">
      <c r="A80" s="2" t="s">
        <v>167</v>
      </c>
      <c r="B80" s="2" t="s">
        <v>168</v>
      </c>
      <c r="C80" s="2">
        <v>93</v>
      </c>
      <c r="D80" s="2">
        <v>72</v>
      </c>
      <c r="E80" s="2">
        <v>74</v>
      </c>
      <c r="F80" s="2">
        <v>69</v>
      </c>
      <c r="G80" s="2">
        <v>76</v>
      </c>
      <c r="H80" s="2">
        <v>99</v>
      </c>
      <c r="I80" s="2">
        <v>98</v>
      </c>
      <c r="J80" s="2">
        <v>98</v>
      </c>
      <c r="K80" s="2">
        <v>98</v>
      </c>
      <c r="L80" s="2">
        <v>777</v>
      </c>
      <c r="M80" s="2" t="s">
        <v>11</v>
      </c>
    </row>
    <row r="81" spans="1:13" x14ac:dyDescent="0.3">
      <c r="A81" s="2" t="s">
        <v>169</v>
      </c>
      <c r="B81" s="2" t="s">
        <v>170</v>
      </c>
      <c r="C81" s="2">
        <v>18</v>
      </c>
      <c r="D81" s="2">
        <v>30</v>
      </c>
      <c r="E81" s="2">
        <v>43</v>
      </c>
      <c r="F81" s="2">
        <v>22</v>
      </c>
      <c r="G81" s="2">
        <v>68</v>
      </c>
      <c r="H81" s="2">
        <v>96</v>
      </c>
      <c r="I81" s="2">
        <v>95</v>
      </c>
      <c r="J81" s="2">
        <v>95</v>
      </c>
      <c r="K81" s="2">
        <v>96</v>
      </c>
      <c r="L81" s="2">
        <v>563</v>
      </c>
      <c r="M81" s="2" t="s">
        <v>26</v>
      </c>
    </row>
    <row r="82" spans="1:13" x14ac:dyDescent="0.3">
      <c r="A82" s="2" t="s">
        <v>171</v>
      </c>
      <c r="B82" s="2" t="s">
        <v>172</v>
      </c>
      <c r="C82" s="2">
        <v>45</v>
      </c>
      <c r="D82" s="2">
        <v>42</v>
      </c>
      <c r="E82" s="2">
        <v>38</v>
      </c>
      <c r="F82" s="2">
        <v>37</v>
      </c>
      <c r="G82" s="2">
        <v>51</v>
      </c>
      <c r="H82" s="2">
        <v>95</v>
      </c>
      <c r="I82" s="2">
        <v>94</v>
      </c>
      <c r="J82" s="2">
        <v>94</v>
      </c>
      <c r="K82" s="2">
        <v>94</v>
      </c>
      <c r="L82" s="2">
        <v>590</v>
      </c>
      <c r="M82" s="2" t="s">
        <v>11</v>
      </c>
    </row>
    <row r="83" spans="1:13" x14ac:dyDescent="0.3">
      <c r="A83" s="2" t="s">
        <v>173</v>
      </c>
      <c r="B83" s="2" t="s">
        <v>174</v>
      </c>
      <c r="C83" s="2">
        <v>61</v>
      </c>
      <c r="D83" s="2">
        <v>68</v>
      </c>
      <c r="E83" s="2">
        <v>83</v>
      </c>
      <c r="F83" s="2">
        <v>83</v>
      </c>
      <c r="G83" s="2">
        <v>85</v>
      </c>
      <c r="H83" s="2">
        <v>98</v>
      </c>
      <c r="I83" s="2">
        <v>94</v>
      </c>
      <c r="J83" s="2">
        <v>95</v>
      </c>
      <c r="K83" s="2">
        <v>97</v>
      </c>
      <c r="L83" s="2">
        <v>764</v>
      </c>
      <c r="M83" s="2" t="s">
        <v>11</v>
      </c>
    </row>
    <row r="84" spans="1:13" x14ac:dyDescent="0.3">
      <c r="A84" s="2" t="s">
        <v>175</v>
      </c>
      <c r="B84" s="2" t="s">
        <v>176</v>
      </c>
      <c r="C84" s="2">
        <v>84</v>
      </c>
      <c r="D84" s="2">
        <v>72</v>
      </c>
      <c r="E84" s="2">
        <v>75</v>
      </c>
      <c r="F84" s="2">
        <v>80</v>
      </c>
      <c r="G84" s="2">
        <v>70</v>
      </c>
      <c r="H84" s="2">
        <v>100</v>
      </c>
      <c r="I84" s="2">
        <v>100</v>
      </c>
      <c r="J84" s="2">
        <v>100</v>
      </c>
      <c r="K84" s="2">
        <v>100</v>
      </c>
      <c r="L84" s="2">
        <v>781</v>
      </c>
      <c r="M84" s="2" t="s">
        <v>11</v>
      </c>
    </row>
    <row r="85" spans="1:13" x14ac:dyDescent="0.3">
      <c r="A85" s="2" t="s">
        <v>177</v>
      </c>
      <c r="B85" s="2" t="s">
        <v>178</v>
      </c>
      <c r="C85" s="2">
        <v>24</v>
      </c>
      <c r="D85" s="2">
        <v>48</v>
      </c>
      <c r="E85" s="2">
        <v>63</v>
      </c>
      <c r="F85" s="2">
        <v>48</v>
      </c>
      <c r="G85" s="2">
        <v>50</v>
      </c>
      <c r="H85" s="2">
        <v>98</v>
      </c>
      <c r="I85" s="2">
        <v>97</v>
      </c>
      <c r="J85" s="2">
        <v>97</v>
      </c>
      <c r="K85" s="2">
        <v>97</v>
      </c>
      <c r="L85" s="2">
        <v>622</v>
      </c>
      <c r="M85" s="2" t="s">
        <v>26</v>
      </c>
    </row>
    <row r="86" spans="1:13" x14ac:dyDescent="0.3">
      <c r="A86" s="2" t="s">
        <v>179</v>
      </c>
      <c r="B86" s="2" t="s">
        <v>180</v>
      </c>
      <c r="C86" s="2">
        <v>90</v>
      </c>
      <c r="D86" s="2">
        <v>67</v>
      </c>
      <c r="E86" s="2">
        <v>88</v>
      </c>
      <c r="F86" s="2">
        <v>68</v>
      </c>
      <c r="G86" s="2">
        <v>95</v>
      </c>
      <c r="H86" s="2">
        <v>100</v>
      </c>
      <c r="I86" s="2">
        <v>99</v>
      </c>
      <c r="J86" s="2">
        <v>98</v>
      </c>
      <c r="K86" s="2">
        <v>99</v>
      </c>
      <c r="L86" s="2">
        <v>804</v>
      </c>
      <c r="M86" s="2" t="s">
        <v>11</v>
      </c>
    </row>
    <row r="87" spans="1:13" x14ac:dyDescent="0.3">
      <c r="A87" s="2" t="s">
        <v>181</v>
      </c>
      <c r="B87" s="2" t="s">
        <v>182</v>
      </c>
      <c r="C87" s="2">
        <v>63</v>
      </c>
      <c r="D87" s="2">
        <v>35</v>
      </c>
      <c r="E87" s="2">
        <v>39</v>
      </c>
      <c r="F87" s="2">
        <v>24</v>
      </c>
      <c r="G87" s="2">
        <v>68</v>
      </c>
      <c r="H87" s="2">
        <v>96</v>
      </c>
      <c r="I87" s="2">
        <v>97</v>
      </c>
      <c r="J87" s="2">
        <v>95</v>
      </c>
      <c r="K87" s="2">
        <v>98</v>
      </c>
      <c r="L87" s="2">
        <v>615</v>
      </c>
      <c r="M87" s="2" t="s">
        <v>26</v>
      </c>
    </row>
    <row r="88" spans="1:13" x14ac:dyDescent="0.3">
      <c r="A88" s="2" t="s">
        <v>183</v>
      </c>
      <c r="B88" s="2" t="s">
        <v>184</v>
      </c>
      <c r="C88" s="2">
        <v>47</v>
      </c>
      <c r="D88" s="2">
        <v>65</v>
      </c>
      <c r="E88" s="2">
        <v>62</v>
      </c>
      <c r="F88" s="2">
        <v>71</v>
      </c>
      <c r="G88" s="2">
        <v>77</v>
      </c>
      <c r="H88" s="2">
        <v>100</v>
      </c>
      <c r="I88" s="2">
        <v>98</v>
      </c>
      <c r="J88" s="2">
        <v>98</v>
      </c>
      <c r="K88" s="2">
        <v>98</v>
      </c>
      <c r="L88" s="2">
        <v>716</v>
      </c>
      <c r="M88" s="2" t="s">
        <v>11</v>
      </c>
    </row>
    <row r="89" spans="1:13" x14ac:dyDescent="0.3">
      <c r="A89" s="2" t="s">
        <v>185</v>
      </c>
      <c r="B89" s="2" t="s">
        <v>186</v>
      </c>
      <c r="C89" s="2">
        <v>85</v>
      </c>
      <c r="D89" s="2">
        <v>69</v>
      </c>
      <c r="E89" s="2">
        <v>75</v>
      </c>
      <c r="F89" s="2">
        <v>87</v>
      </c>
      <c r="G89" s="2">
        <v>97</v>
      </c>
      <c r="H89" s="2">
        <v>100</v>
      </c>
      <c r="I89" s="2">
        <v>100</v>
      </c>
      <c r="J89" s="2">
        <v>100</v>
      </c>
      <c r="K89" s="2">
        <v>100</v>
      </c>
      <c r="L89" s="2">
        <v>813</v>
      </c>
      <c r="M89" s="2" t="s">
        <v>11</v>
      </c>
    </row>
    <row r="90" spans="1:13" x14ac:dyDescent="0.3">
      <c r="A90" s="2" t="s">
        <v>187</v>
      </c>
      <c r="B90" s="2" t="s">
        <v>188</v>
      </c>
      <c r="C90" s="2">
        <v>100</v>
      </c>
      <c r="D90" s="2">
        <v>92</v>
      </c>
      <c r="E90" s="2">
        <v>93</v>
      </c>
      <c r="F90" s="2">
        <v>96</v>
      </c>
      <c r="G90" s="2">
        <v>96</v>
      </c>
      <c r="H90" s="2">
        <v>100</v>
      </c>
      <c r="I90" s="2">
        <v>100</v>
      </c>
      <c r="J90" s="2">
        <v>100</v>
      </c>
      <c r="K90" s="2">
        <v>100</v>
      </c>
      <c r="L90" s="2">
        <v>877</v>
      </c>
      <c r="M90" s="2" t="s">
        <v>11</v>
      </c>
    </row>
    <row r="91" spans="1:13" x14ac:dyDescent="0.3">
      <c r="A91" s="2" t="s">
        <v>189</v>
      </c>
      <c r="B91" s="2" t="s">
        <v>190</v>
      </c>
      <c r="C91" s="2">
        <v>100</v>
      </c>
      <c r="D91" s="2">
        <v>81</v>
      </c>
      <c r="E91" s="2">
        <v>88</v>
      </c>
      <c r="F91" s="2">
        <v>97</v>
      </c>
      <c r="G91" s="2">
        <v>96</v>
      </c>
      <c r="H91" s="2">
        <v>100</v>
      </c>
      <c r="I91" s="2">
        <v>100</v>
      </c>
      <c r="J91" s="2">
        <v>100</v>
      </c>
      <c r="K91" s="2">
        <v>100</v>
      </c>
      <c r="L91" s="2">
        <v>862</v>
      </c>
      <c r="M91" s="2" t="s">
        <v>11</v>
      </c>
    </row>
    <row r="92" spans="1:13" x14ac:dyDescent="0.3">
      <c r="A92" s="2" t="s">
        <v>191</v>
      </c>
      <c r="B92" s="2" t="s">
        <v>192</v>
      </c>
      <c r="C92" s="2">
        <v>100</v>
      </c>
      <c r="D92" s="2">
        <v>83</v>
      </c>
      <c r="E92" s="2">
        <v>93</v>
      </c>
      <c r="F92" s="2">
        <v>96</v>
      </c>
      <c r="G92" s="2">
        <v>97</v>
      </c>
      <c r="H92" s="2">
        <v>100</v>
      </c>
      <c r="I92" s="2">
        <v>100</v>
      </c>
      <c r="J92" s="2">
        <v>100</v>
      </c>
      <c r="K92" s="2">
        <v>100</v>
      </c>
      <c r="L92" s="2">
        <v>869</v>
      </c>
      <c r="M92" s="2" t="s">
        <v>11</v>
      </c>
    </row>
    <row r="93" spans="1:13" x14ac:dyDescent="0.3">
      <c r="A93" s="2" t="s">
        <v>193</v>
      </c>
      <c r="B93" s="2" t="s">
        <v>194</v>
      </c>
      <c r="C93" s="2">
        <v>98</v>
      </c>
      <c r="D93" s="2">
        <v>92</v>
      </c>
      <c r="E93" s="2">
        <v>81</v>
      </c>
      <c r="F93" s="2">
        <v>73</v>
      </c>
      <c r="G93" s="2">
        <v>89</v>
      </c>
      <c r="H93" s="2">
        <v>100</v>
      </c>
      <c r="I93" s="2">
        <v>99</v>
      </c>
      <c r="J93" s="2">
        <v>99</v>
      </c>
      <c r="K93" s="2">
        <v>99</v>
      </c>
      <c r="L93" s="2">
        <v>830</v>
      </c>
      <c r="M93" s="2" t="s">
        <v>11</v>
      </c>
    </row>
    <row r="94" spans="1:13" x14ac:dyDescent="0.3">
      <c r="A94" s="2" t="s">
        <v>195</v>
      </c>
      <c r="B94" s="2" t="s">
        <v>196</v>
      </c>
      <c r="C94" s="2">
        <v>85</v>
      </c>
      <c r="D94" s="2">
        <v>86</v>
      </c>
      <c r="E94" s="2">
        <v>69</v>
      </c>
      <c r="F94" s="2">
        <v>48</v>
      </c>
      <c r="G94" s="2">
        <v>83</v>
      </c>
      <c r="H94" s="2">
        <v>98</v>
      </c>
      <c r="I94" s="2">
        <v>96</v>
      </c>
      <c r="J94" s="2">
        <v>95</v>
      </c>
      <c r="K94" s="2">
        <v>97</v>
      </c>
      <c r="L94" s="2">
        <v>757</v>
      </c>
      <c r="M94" s="2" t="s">
        <v>11</v>
      </c>
    </row>
    <row r="95" spans="1:13" x14ac:dyDescent="0.3">
      <c r="A95" s="2" t="s">
        <v>197</v>
      </c>
      <c r="B95" s="2" t="s">
        <v>198</v>
      </c>
      <c r="C95" s="2">
        <v>54</v>
      </c>
      <c r="D95" s="2">
        <v>45</v>
      </c>
      <c r="E95" s="2">
        <v>51</v>
      </c>
      <c r="F95" s="2">
        <v>47</v>
      </c>
      <c r="G95" s="2">
        <v>71</v>
      </c>
      <c r="H95" s="2">
        <v>99</v>
      </c>
      <c r="I95" s="2">
        <v>97</v>
      </c>
      <c r="J95" s="2">
        <v>97</v>
      </c>
      <c r="K95" s="2">
        <v>97</v>
      </c>
      <c r="L95" s="2">
        <v>658</v>
      </c>
      <c r="M95" s="2" t="s">
        <v>11</v>
      </c>
    </row>
    <row r="96" spans="1:13" x14ac:dyDescent="0.3">
      <c r="A96" s="2" t="s">
        <v>199</v>
      </c>
      <c r="B96" s="2" t="s">
        <v>200</v>
      </c>
      <c r="C96" s="2">
        <v>90</v>
      </c>
      <c r="D96" s="2">
        <v>80</v>
      </c>
      <c r="E96" s="2">
        <v>70</v>
      </c>
      <c r="F96" s="2">
        <v>75</v>
      </c>
      <c r="G96" s="2">
        <v>74</v>
      </c>
      <c r="H96" s="2">
        <v>100</v>
      </c>
      <c r="I96" s="2">
        <v>99</v>
      </c>
      <c r="J96" s="2">
        <v>98</v>
      </c>
      <c r="K96" s="2">
        <v>99</v>
      </c>
      <c r="L96" s="2">
        <v>785</v>
      </c>
      <c r="M96" s="2" t="s">
        <v>11</v>
      </c>
    </row>
    <row r="97" spans="1:13" x14ac:dyDescent="0.3">
      <c r="A97" s="2" t="s">
        <v>201</v>
      </c>
      <c r="B97" s="2" t="s">
        <v>202</v>
      </c>
      <c r="C97" s="2">
        <v>96</v>
      </c>
      <c r="D97" s="2">
        <v>68</v>
      </c>
      <c r="E97" s="2">
        <v>68</v>
      </c>
      <c r="F97" s="2">
        <v>61</v>
      </c>
      <c r="G97" s="2">
        <v>80</v>
      </c>
      <c r="H97" s="2">
        <v>98</v>
      </c>
      <c r="I97" s="2">
        <v>99</v>
      </c>
      <c r="J97" s="2">
        <v>98</v>
      </c>
      <c r="K97" s="2">
        <v>99</v>
      </c>
      <c r="L97" s="2">
        <v>767</v>
      </c>
      <c r="M97" s="2" t="s">
        <v>11</v>
      </c>
    </row>
    <row r="98" spans="1:13" x14ac:dyDescent="0.3">
      <c r="A98" s="2" t="s">
        <v>203</v>
      </c>
      <c r="B98" s="2" t="s">
        <v>204</v>
      </c>
      <c r="C98" s="2">
        <v>77</v>
      </c>
      <c r="D98" s="2">
        <v>52</v>
      </c>
      <c r="E98" s="2">
        <v>62</v>
      </c>
      <c r="F98" s="2">
        <v>45</v>
      </c>
      <c r="G98" s="2">
        <v>82</v>
      </c>
      <c r="H98" s="2">
        <v>96</v>
      </c>
      <c r="I98" s="2">
        <v>97</v>
      </c>
      <c r="J98" s="2">
        <v>97</v>
      </c>
      <c r="K98" s="2">
        <v>97</v>
      </c>
      <c r="L98" s="2">
        <v>705</v>
      </c>
      <c r="M98" s="2" t="s">
        <v>11</v>
      </c>
    </row>
    <row r="99" spans="1:13" x14ac:dyDescent="0.3">
      <c r="A99" s="2" t="s">
        <v>205</v>
      </c>
      <c r="B99" s="2" t="s">
        <v>206</v>
      </c>
      <c r="C99" s="2">
        <v>70</v>
      </c>
      <c r="D99" s="2">
        <v>77</v>
      </c>
      <c r="E99" s="2">
        <v>66</v>
      </c>
      <c r="F99" s="2">
        <v>50</v>
      </c>
      <c r="G99" s="2">
        <v>87</v>
      </c>
      <c r="H99" s="2">
        <v>98</v>
      </c>
      <c r="I99" s="2">
        <v>96</v>
      </c>
      <c r="J99" s="2">
        <v>95</v>
      </c>
      <c r="K99" s="2">
        <v>95</v>
      </c>
      <c r="L99" s="2">
        <v>734</v>
      </c>
      <c r="M99" s="2" t="s">
        <v>11</v>
      </c>
    </row>
    <row r="100" spans="1:13" x14ac:dyDescent="0.3">
      <c r="A100" s="2" t="s">
        <v>207</v>
      </c>
      <c r="B100" s="2" t="s">
        <v>208</v>
      </c>
      <c r="C100" s="2">
        <v>100</v>
      </c>
      <c r="D100" s="2">
        <v>94</v>
      </c>
      <c r="E100" s="2">
        <v>89</v>
      </c>
      <c r="F100" s="2">
        <v>80</v>
      </c>
      <c r="G100" s="2">
        <v>96</v>
      </c>
      <c r="H100" s="2">
        <v>98</v>
      </c>
      <c r="I100" s="2">
        <v>99</v>
      </c>
      <c r="J100" s="2">
        <v>98</v>
      </c>
      <c r="K100" s="2">
        <v>97</v>
      </c>
      <c r="L100" s="2">
        <v>851</v>
      </c>
      <c r="M100" s="2" t="s">
        <v>11</v>
      </c>
    </row>
    <row r="101" spans="1:13" x14ac:dyDescent="0.3">
      <c r="A101" s="2" t="s">
        <v>209</v>
      </c>
      <c r="B101" s="2" t="s">
        <v>210</v>
      </c>
      <c r="C101" s="2">
        <v>97</v>
      </c>
      <c r="D101" s="2">
        <v>92</v>
      </c>
      <c r="E101" s="2">
        <v>92</v>
      </c>
      <c r="F101" s="2">
        <v>94</v>
      </c>
      <c r="G101" s="2">
        <v>94</v>
      </c>
      <c r="H101" s="2">
        <v>100</v>
      </c>
      <c r="I101" s="2">
        <v>100</v>
      </c>
      <c r="J101" s="2">
        <v>100</v>
      </c>
      <c r="K101" s="2">
        <v>100</v>
      </c>
      <c r="L101" s="2">
        <v>869</v>
      </c>
      <c r="M101" s="2" t="s">
        <v>11</v>
      </c>
    </row>
    <row r="102" spans="1:13" x14ac:dyDescent="0.3">
      <c r="A102" s="2" t="s">
        <v>211</v>
      </c>
      <c r="B102" s="2" t="s">
        <v>212</v>
      </c>
      <c r="C102" s="2">
        <v>83</v>
      </c>
      <c r="D102" s="2">
        <v>97</v>
      </c>
      <c r="E102" s="2">
        <v>84</v>
      </c>
      <c r="F102" s="2">
        <v>92</v>
      </c>
      <c r="G102" s="2">
        <v>86</v>
      </c>
      <c r="H102" s="2">
        <v>100</v>
      </c>
      <c r="I102" s="2">
        <v>98</v>
      </c>
      <c r="J102" s="2">
        <v>98</v>
      </c>
      <c r="K102" s="2">
        <v>98</v>
      </c>
      <c r="L102" s="2">
        <v>836</v>
      </c>
      <c r="M102" s="2" t="s">
        <v>11</v>
      </c>
    </row>
    <row r="103" spans="1:13" x14ac:dyDescent="0.3">
      <c r="A103" s="2" t="s">
        <v>213</v>
      </c>
      <c r="B103" s="2" t="s">
        <v>214</v>
      </c>
      <c r="C103" s="2">
        <v>84</v>
      </c>
      <c r="D103" s="2">
        <v>79</v>
      </c>
      <c r="E103" s="2">
        <v>75</v>
      </c>
      <c r="F103" s="2">
        <v>64</v>
      </c>
      <c r="G103" s="2">
        <v>70</v>
      </c>
      <c r="H103" s="2">
        <v>100</v>
      </c>
      <c r="I103" s="2">
        <v>100</v>
      </c>
      <c r="J103" s="2">
        <v>98</v>
      </c>
      <c r="K103" s="2">
        <v>100</v>
      </c>
      <c r="L103" s="2">
        <v>770</v>
      </c>
      <c r="M103" s="2" t="s">
        <v>11</v>
      </c>
    </row>
    <row r="104" spans="1:13" x14ac:dyDescent="0.3">
      <c r="A104" s="2" t="s">
        <v>215</v>
      </c>
      <c r="B104" s="2" t="s">
        <v>216</v>
      </c>
      <c r="C104" s="2">
        <v>72</v>
      </c>
      <c r="D104" s="2">
        <v>90</v>
      </c>
      <c r="E104" s="2">
        <v>91</v>
      </c>
      <c r="F104" s="2">
        <v>63</v>
      </c>
      <c r="G104" s="2">
        <v>90</v>
      </c>
      <c r="H104" s="2">
        <v>100</v>
      </c>
      <c r="I104" s="2">
        <v>99</v>
      </c>
      <c r="J104" s="2">
        <v>99</v>
      </c>
      <c r="K104" s="2">
        <v>98</v>
      </c>
      <c r="L104" s="2">
        <v>802</v>
      </c>
      <c r="M104" s="2" t="s">
        <v>11</v>
      </c>
    </row>
    <row r="105" spans="1:13" x14ac:dyDescent="0.3">
      <c r="A105" s="2" t="s">
        <v>217</v>
      </c>
      <c r="B105" s="2" t="s">
        <v>218</v>
      </c>
      <c r="C105" s="2">
        <v>89</v>
      </c>
      <c r="D105" s="2">
        <v>77</v>
      </c>
      <c r="E105" s="2">
        <v>64</v>
      </c>
      <c r="F105" s="2">
        <v>51</v>
      </c>
      <c r="G105" s="2">
        <v>75</v>
      </c>
      <c r="H105" s="2">
        <v>96</v>
      </c>
      <c r="I105" s="2">
        <v>96</v>
      </c>
      <c r="J105" s="2">
        <v>96</v>
      </c>
      <c r="K105" s="2">
        <v>94</v>
      </c>
      <c r="L105" s="2">
        <v>738</v>
      </c>
      <c r="M105" s="2" t="s">
        <v>11</v>
      </c>
    </row>
    <row r="106" spans="1:13" x14ac:dyDescent="0.3">
      <c r="A106" s="2" t="s">
        <v>219</v>
      </c>
      <c r="B106" s="2" t="s">
        <v>220</v>
      </c>
      <c r="C106" s="2">
        <v>95</v>
      </c>
      <c r="D106" s="2">
        <v>93</v>
      </c>
      <c r="E106" s="2">
        <v>74</v>
      </c>
      <c r="F106" s="2">
        <v>78</v>
      </c>
      <c r="G106" s="2">
        <v>88</v>
      </c>
      <c r="H106" s="2">
        <v>100</v>
      </c>
      <c r="I106" s="2">
        <v>99</v>
      </c>
      <c r="J106" s="2">
        <v>99</v>
      </c>
      <c r="K106" s="2">
        <v>98</v>
      </c>
      <c r="L106" s="2">
        <v>824</v>
      </c>
      <c r="M106" s="2" t="s">
        <v>11</v>
      </c>
    </row>
    <row r="107" spans="1:13" x14ac:dyDescent="0.3">
      <c r="A107" s="2" t="s">
        <v>221</v>
      </c>
      <c r="B107" s="2" t="s">
        <v>222</v>
      </c>
      <c r="C107" s="2">
        <v>68</v>
      </c>
      <c r="D107" s="2">
        <v>75</v>
      </c>
      <c r="E107" s="2">
        <v>59</v>
      </c>
      <c r="F107" s="2">
        <v>62</v>
      </c>
      <c r="G107" s="2">
        <v>66</v>
      </c>
      <c r="H107" s="2">
        <v>98</v>
      </c>
      <c r="I107" s="2">
        <v>96</v>
      </c>
      <c r="J107" s="2">
        <v>96</v>
      </c>
      <c r="K107" s="2">
        <v>96</v>
      </c>
      <c r="L107" s="2">
        <v>716</v>
      </c>
      <c r="M107" s="2" t="s">
        <v>11</v>
      </c>
    </row>
    <row r="108" spans="1:13" x14ac:dyDescent="0.3">
      <c r="A108" s="2" t="s">
        <v>223</v>
      </c>
      <c r="B108" s="2" t="s">
        <v>224</v>
      </c>
      <c r="C108" s="2">
        <v>57</v>
      </c>
      <c r="D108" s="2">
        <v>27</v>
      </c>
      <c r="E108" s="2">
        <v>55</v>
      </c>
      <c r="F108" s="2">
        <v>31</v>
      </c>
      <c r="G108" s="2">
        <v>83</v>
      </c>
      <c r="H108" s="2">
        <v>98</v>
      </c>
      <c r="I108" s="2">
        <v>96</v>
      </c>
      <c r="J108" s="2">
        <v>95</v>
      </c>
      <c r="K108" s="2">
        <v>96</v>
      </c>
      <c r="L108" s="2">
        <v>638</v>
      </c>
      <c r="M108" s="2" t="s">
        <v>26</v>
      </c>
    </row>
    <row r="109" spans="1:13" x14ac:dyDescent="0.3">
      <c r="A109" s="2" t="s">
        <v>225</v>
      </c>
      <c r="B109" s="2" t="s">
        <v>226</v>
      </c>
      <c r="C109" s="2">
        <v>96</v>
      </c>
      <c r="D109" s="2">
        <v>65</v>
      </c>
      <c r="E109" s="2">
        <v>76</v>
      </c>
      <c r="F109" s="2">
        <v>56</v>
      </c>
      <c r="G109" s="2">
        <v>65</v>
      </c>
      <c r="H109" s="2">
        <v>100</v>
      </c>
      <c r="I109" s="2">
        <v>99</v>
      </c>
      <c r="J109" s="2">
        <v>96</v>
      </c>
      <c r="K109" s="2">
        <v>100</v>
      </c>
      <c r="L109" s="2">
        <v>753</v>
      </c>
      <c r="M109" s="2" t="s">
        <v>11</v>
      </c>
    </row>
    <row r="110" spans="1:13" x14ac:dyDescent="0.3">
      <c r="A110" s="2" t="s">
        <v>227</v>
      </c>
      <c r="B110" s="2" t="s">
        <v>228</v>
      </c>
      <c r="C110" s="2">
        <v>30</v>
      </c>
      <c r="D110" s="2">
        <v>51</v>
      </c>
      <c r="E110" s="2">
        <v>40</v>
      </c>
      <c r="F110" s="2">
        <v>21</v>
      </c>
      <c r="G110" s="2">
        <v>64</v>
      </c>
      <c r="H110" s="2">
        <v>98</v>
      </c>
      <c r="I110" s="2">
        <v>96</v>
      </c>
      <c r="J110" s="2">
        <v>94</v>
      </c>
      <c r="K110" s="2">
        <v>97</v>
      </c>
      <c r="L110" s="2">
        <v>591</v>
      </c>
      <c r="M110" s="2" t="s">
        <v>26</v>
      </c>
    </row>
    <row r="111" spans="1:13" x14ac:dyDescent="0.3">
      <c r="A111" s="2" t="s">
        <v>229</v>
      </c>
      <c r="B111" s="2" t="s">
        <v>230</v>
      </c>
      <c r="C111" s="2">
        <v>69</v>
      </c>
      <c r="D111" s="2">
        <v>27</v>
      </c>
      <c r="E111" s="2">
        <v>49</v>
      </c>
      <c r="F111" s="2">
        <v>41</v>
      </c>
      <c r="G111" s="2">
        <v>75</v>
      </c>
      <c r="H111" s="2">
        <v>96</v>
      </c>
      <c r="I111" s="2">
        <v>94</v>
      </c>
      <c r="J111" s="2">
        <v>95</v>
      </c>
      <c r="K111" s="2">
        <v>95</v>
      </c>
      <c r="L111" s="2">
        <v>641</v>
      </c>
      <c r="M111" s="2" t="s">
        <v>26</v>
      </c>
    </row>
    <row r="112" spans="1:13" x14ac:dyDescent="0.3">
      <c r="A112" s="2" t="s">
        <v>231</v>
      </c>
      <c r="B112" s="2" t="s">
        <v>232</v>
      </c>
      <c r="C112" s="2">
        <v>93</v>
      </c>
      <c r="D112" s="2">
        <v>76</v>
      </c>
      <c r="E112" s="2">
        <v>92</v>
      </c>
      <c r="F112" s="2">
        <v>89</v>
      </c>
      <c r="G112" s="2">
        <v>98</v>
      </c>
      <c r="H112" s="2">
        <v>100</v>
      </c>
      <c r="I112" s="2">
        <v>100</v>
      </c>
      <c r="J112" s="2">
        <v>100</v>
      </c>
      <c r="K112" s="2">
        <v>100</v>
      </c>
      <c r="L112" s="2">
        <v>848</v>
      </c>
      <c r="M112" s="2" t="s">
        <v>11</v>
      </c>
    </row>
    <row r="113" spans="1:13" x14ac:dyDescent="0.3">
      <c r="A113" s="2" t="s">
        <v>233</v>
      </c>
      <c r="B113" s="2" t="s">
        <v>234</v>
      </c>
      <c r="C113" s="2">
        <v>61</v>
      </c>
      <c r="D113" s="2">
        <v>25</v>
      </c>
      <c r="E113" s="2">
        <v>53</v>
      </c>
      <c r="F113" s="2">
        <v>42</v>
      </c>
      <c r="G113" s="2">
        <v>66</v>
      </c>
      <c r="H113" s="2">
        <v>97</v>
      </c>
      <c r="I113" s="2">
        <v>96</v>
      </c>
      <c r="J113" s="2">
        <v>95</v>
      </c>
      <c r="K113" s="2">
        <v>96</v>
      </c>
      <c r="L113" s="2">
        <v>631</v>
      </c>
      <c r="M113" s="2" t="s">
        <v>26</v>
      </c>
    </row>
    <row r="114" spans="1:13" x14ac:dyDescent="0.3">
      <c r="A114" s="2" t="s">
        <v>235</v>
      </c>
      <c r="B114" s="2" t="s">
        <v>236</v>
      </c>
      <c r="C114" s="2">
        <v>72</v>
      </c>
      <c r="D114" s="2">
        <v>91</v>
      </c>
      <c r="E114" s="2">
        <v>94</v>
      </c>
      <c r="F114" s="2">
        <v>76</v>
      </c>
      <c r="G114" s="2">
        <v>93</v>
      </c>
      <c r="H114" s="2">
        <v>100</v>
      </c>
      <c r="I114" s="2">
        <v>98</v>
      </c>
      <c r="J114" s="2">
        <v>97</v>
      </c>
      <c r="K114" s="2">
        <v>97</v>
      </c>
      <c r="L114" s="2">
        <v>818</v>
      </c>
      <c r="M114" s="2" t="s">
        <v>11</v>
      </c>
    </row>
    <row r="115" spans="1:13" x14ac:dyDescent="0.3">
      <c r="A115" s="2" t="s">
        <v>237</v>
      </c>
      <c r="B115" s="2" t="s">
        <v>238</v>
      </c>
      <c r="C115" s="2">
        <v>98</v>
      </c>
      <c r="D115" s="2">
        <v>96</v>
      </c>
      <c r="E115" s="2">
        <v>91</v>
      </c>
      <c r="F115" s="2">
        <v>100</v>
      </c>
      <c r="G115" s="2">
        <v>95</v>
      </c>
      <c r="H115" s="2">
        <v>100</v>
      </c>
      <c r="I115" s="2">
        <v>100</v>
      </c>
      <c r="J115" s="2">
        <v>100</v>
      </c>
      <c r="K115" s="2">
        <v>98</v>
      </c>
      <c r="L115" s="2">
        <v>878</v>
      </c>
      <c r="M115" s="2" t="s">
        <v>11</v>
      </c>
    </row>
    <row r="116" spans="1:13" x14ac:dyDescent="0.3">
      <c r="A116" s="2" t="s">
        <v>239</v>
      </c>
      <c r="B116" s="2" t="s">
        <v>240</v>
      </c>
      <c r="C116" s="2">
        <v>47</v>
      </c>
      <c r="D116" s="2">
        <v>57</v>
      </c>
      <c r="E116" s="2">
        <v>38</v>
      </c>
      <c r="F116" s="2">
        <v>52</v>
      </c>
      <c r="G116" s="2">
        <v>80</v>
      </c>
      <c r="H116" s="2">
        <v>99</v>
      </c>
      <c r="I116" s="2">
        <v>97</v>
      </c>
      <c r="J116" s="2">
        <v>97</v>
      </c>
      <c r="K116" s="2">
        <v>96</v>
      </c>
      <c r="L116" s="2">
        <v>663</v>
      </c>
      <c r="M116" s="2" t="s">
        <v>26</v>
      </c>
    </row>
    <row r="117" spans="1:13" x14ac:dyDescent="0.3">
      <c r="A117" s="2" t="s">
        <v>241</v>
      </c>
      <c r="B117" s="2" t="s">
        <v>242</v>
      </c>
      <c r="C117" s="2">
        <v>58</v>
      </c>
      <c r="D117" s="2">
        <v>55</v>
      </c>
      <c r="E117" s="2">
        <v>54</v>
      </c>
      <c r="F117" s="2">
        <v>52</v>
      </c>
      <c r="G117" s="2">
        <v>51</v>
      </c>
      <c r="H117" s="2">
        <v>99</v>
      </c>
      <c r="I117" s="2">
        <v>97</v>
      </c>
      <c r="J117" s="2">
        <v>97</v>
      </c>
      <c r="K117" s="2">
        <v>98</v>
      </c>
      <c r="L117" s="2">
        <v>661</v>
      </c>
      <c r="M117" s="2" t="s">
        <v>11</v>
      </c>
    </row>
    <row r="118" spans="1:13" x14ac:dyDescent="0.3">
      <c r="A118" s="2" t="s">
        <v>243</v>
      </c>
      <c r="B118" s="2" t="s">
        <v>244</v>
      </c>
      <c r="C118" s="2">
        <v>57</v>
      </c>
      <c r="D118" s="2">
        <v>80</v>
      </c>
      <c r="E118" s="2">
        <v>68</v>
      </c>
      <c r="F118" s="2">
        <v>73</v>
      </c>
      <c r="G118" s="2">
        <v>78</v>
      </c>
      <c r="H118" s="2">
        <v>98</v>
      </c>
      <c r="I118" s="2">
        <v>96</v>
      </c>
      <c r="J118" s="2">
        <v>95</v>
      </c>
      <c r="K118" s="2">
        <v>97</v>
      </c>
      <c r="L118" s="2">
        <v>742</v>
      </c>
      <c r="M118" s="2" t="s">
        <v>11</v>
      </c>
    </row>
    <row r="119" spans="1:13" x14ac:dyDescent="0.3">
      <c r="A119" s="2" t="s">
        <v>245</v>
      </c>
      <c r="B119" s="2" t="s">
        <v>246</v>
      </c>
      <c r="C119" s="2">
        <v>79</v>
      </c>
      <c r="D119" s="2">
        <v>80</v>
      </c>
      <c r="E119" s="2">
        <v>75</v>
      </c>
      <c r="F119" s="2">
        <v>73</v>
      </c>
      <c r="G119" s="2">
        <v>59</v>
      </c>
      <c r="H119" s="2">
        <v>99</v>
      </c>
      <c r="I119" s="2">
        <v>97</v>
      </c>
      <c r="J119" s="2">
        <v>96</v>
      </c>
      <c r="K119" s="2">
        <v>95</v>
      </c>
      <c r="L119" s="2">
        <v>753</v>
      </c>
      <c r="M119" s="2" t="s">
        <v>11</v>
      </c>
    </row>
    <row r="120" spans="1:13" x14ac:dyDescent="0.3">
      <c r="A120" s="2" t="s">
        <v>247</v>
      </c>
      <c r="B120" s="2" t="s">
        <v>248</v>
      </c>
      <c r="C120" s="2">
        <v>90</v>
      </c>
      <c r="D120" s="2">
        <v>95</v>
      </c>
      <c r="E120" s="2">
        <v>90</v>
      </c>
      <c r="F120" s="2">
        <v>94</v>
      </c>
      <c r="G120" s="2">
        <v>85</v>
      </c>
      <c r="H120" s="2">
        <v>100</v>
      </c>
      <c r="I120" s="2">
        <v>100</v>
      </c>
      <c r="J120" s="2">
        <v>100</v>
      </c>
      <c r="K120" s="2">
        <v>100</v>
      </c>
      <c r="L120" s="2">
        <v>854</v>
      </c>
      <c r="M120" s="2" t="s">
        <v>11</v>
      </c>
    </row>
    <row r="121" spans="1:13" x14ac:dyDescent="0.3">
      <c r="A121" s="2" t="s">
        <v>249</v>
      </c>
      <c r="B121" s="2" t="s">
        <v>250</v>
      </c>
      <c r="C121" s="2">
        <v>45</v>
      </c>
      <c r="D121" s="2">
        <v>48</v>
      </c>
      <c r="E121" s="2">
        <v>57</v>
      </c>
      <c r="F121" s="2">
        <v>44</v>
      </c>
      <c r="G121" s="2">
        <v>64</v>
      </c>
      <c r="H121" s="2">
        <v>100</v>
      </c>
      <c r="I121" s="2">
        <v>97</v>
      </c>
      <c r="J121" s="2">
        <v>98</v>
      </c>
      <c r="K121" s="2">
        <v>96</v>
      </c>
      <c r="L121" s="2">
        <v>649</v>
      </c>
      <c r="M121" s="2" t="s">
        <v>11</v>
      </c>
    </row>
    <row r="122" spans="1:13" x14ac:dyDescent="0.3">
      <c r="A122" s="2" t="s">
        <v>251</v>
      </c>
      <c r="B122" s="2" t="s">
        <v>252</v>
      </c>
      <c r="C122" s="2">
        <v>67</v>
      </c>
      <c r="D122" s="2">
        <v>78</v>
      </c>
      <c r="E122" s="2">
        <v>73</v>
      </c>
      <c r="F122" s="2">
        <v>49</v>
      </c>
      <c r="G122" s="2">
        <v>81</v>
      </c>
      <c r="H122" s="2">
        <v>99</v>
      </c>
      <c r="I122" s="2">
        <v>97</v>
      </c>
      <c r="J122" s="2">
        <v>96</v>
      </c>
      <c r="K122" s="2">
        <v>96</v>
      </c>
      <c r="L122" s="2">
        <v>736</v>
      </c>
      <c r="M122" s="2" t="s">
        <v>11</v>
      </c>
    </row>
    <row r="123" spans="1:13" x14ac:dyDescent="0.3">
      <c r="A123" s="2" t="s">
        <v>253</v>
      </c>
      <c r="B123" s="2" t="s">
        <v>254</v>
      </c>
      <c r="C123" s="2">
        <v>68</v>
      </c>
      <c r="D123" s="2">
        <v>81</v>
      </c>
      <c r="E123" s="2">
        <v>69</v>
      </c>
      <c r="F123" s="2">
        <v>66</v>
      </c>
      <c r="G123" s="2">
        <v>86</v>
      </c>
      <c r="H123" s="2">
        <v>97</v>
      </c>
      <c r="I123" s="2">
        <v>95</v>
      </c>
      <c r="J123" s="2">
        <v>97</v>
      </c>
      <c r="K123" s="2">
        <v>96</v>
      </c>
      <c r="L123" s="2">
        <v>755</v>
      </c>
      <c r="M123" s="2" t="s">
        <v>11</v>
      </c>
    </row>
    <row r="124" spans="1:13" x14ac:dyDescent="0.3">
      <c r="A124" s="2" t="s">
        <v>255</v>
      </c>
      <c r="B124" s="2" t="s">
        <v>256</v>
      </c>
      <c r="C124" s="2">
        <v>97</v>
      </c>
      <c r="D124" s="2">
        <v>76</v>
      </c>
      <c r="E124" s="2">
        <v>89</v>
      </c>
      <c r="F124" s="2">
        <v>83</v>
      </c>
      <c r="G124" s="2">
        <v>84</v>
      </c>
      <c r="H124" s="2">
        <v>100</v>
      </c>
      <c r="I124" s="2">
        <v>99</v>
      </c>
      <c r="J124" s="2">
        <v>98</v>
      </c>
      <c r="K124" s="2">
        <v>100</v>
      </c>
      <c r="L124" s="2">
        <v>826</v>
      </c>
      <c r="M124" s="2" t="s">
        <v>11</v>
      </c>
    </row>
    <row r="125" spans="1:13" x14ac:dyDescent="0.3">
      <c r="A125" s="2" t="s">
        <v>257</v>
      </c>
      <c r="B125" s="2" t="s">
        <v>258</v>
      </c>
      <c r="C125" s="2">
        <v>77</v>
      </c>
      <c r="D125" s="2">
        <v>67</v>
      </c>
      <c r="E125" s="2">
        <v>74</v>
      </c>
      <c r="F125" s="2">
        <v>71</v>
      </c>
      <c r="G125" s="2">
        <v>68</v>
      </c>
      <c r="H125" s="2">
        <v>99</v>
      </c>
      <c r="I125" s="2">
        <v>98</v>
      </c>
      <c r="J125" s="2">
        <v>96</v>
      </c>
      <c r="K125" s="2">
        <v>97</v>
      </c>
      <c r="L125" s="2">
        <v>747</v>
      </c>
      <c r="M125" s="2" t="s">
        <v>11</v>
      </c>
    </row>
    <row r="126" spans="1:13" x14ac:dyDescent="0.3">
      <c r="A126" s="2" t="s">
        <v>259</v>
      </c>
      <c r="B126" s="2" t="s">
        <v>260</v>
      </c>
      <c r="C126" s="2">
        <v>57</v>
      </c>
      <c r="D126" s="2">
        <v>48</v>
      </c>
      <c r="E126" s="2">
        <v>43</v>
      </c>
      <c r="F126" s="2">
        <v>47</v>
      </c>
      <c r="G126" s="2">
        <v>40</v>
      </c>
      <c r="H126" s="2">
        <v>98</v>
      </c>
      <c r="I126" s="2">
        <v>97</v>
      </c>
      <c r="J126" s="2">
        <v>97</v>
      </c>
      <c r="K126" s="2">
        <v>96</v>
      </c>
      <c r="L126" s="2">
        <v>623</v>
      </c>
      <c r="M126" s="2" t="s">
        <v>11</v>
      </c>
    </row>
    <row r="127" spans="1:13" x14ac:dyDescent="0.3">
      <c r="A127" s="2" t="s">
        <v>261</v>
      </c>
      <c r="B127" s="2" t="s">
        <v>262</v>
      </c>
      <c r="C127" s="2">
        <v>68</v>
      </c>
      <c r="D127" s="2">
        <v>74</v>
      </c>
      <c r="E127" s="2">
        <v>68</v>
      </c>
      <c r="F127" s="2">
        <v>92</v>
      </c>
      <c r="G127" s="2">
        <v>66</v>
      </c>
      <c r="H127" s="2">
        <v>100</v>
      </c>
      <c r="I127" s="2">
        <v>98</v>
      </c>
      <c r="J127" s="2">
        <v>98</v>
      </c>
      <c r="K127" s="2">
        <v>96</v>
      </c>
      <c r="L127" s="2">
        <v>760</v>
      </c>
      <c r="M127" s="2" t="s">
        <v>11</v>
      </c>
    </row>
    <row r="128" spans="1:13" x14ac:dyDescent="0.3">
      <c r="A128" s="2" t="s">
        <v>263</v>
      </c>
      <c r="B128" s="2" t="s">
        <v>264</v>
      </c>
      <c r="C128" s="2">
        <v>83</v>
      </c>
      <c r="D128" s="2">
        <v>52</v>
      </c>
      <c r="E128" s="2">
        <v>83</v>
      </c>
      <c r="F128" s="2">
        <v>84</v>
      </c>
      <c r="G128" s="2">
        <v>88</v>
      </c>
      <c r="H128" s="2">
        <v>100</v>
      </c>
      <c r="I128" s="2">
        <v>100</v>
      </c>
      <c r="J128" s="2">
        <v>100</v>
      </c>
      <c r="K128" s="2">
        <v>100</v>
      </c>
      <c r="L128" s="2">
        <v>790</v>
      </c>
      <c r="M128" s="2" t="s">
        <v>11</v>
      </c>
    </row>
    <row r="129" spans="1:13" x14ac:dyDescent="0.3">
      <c r="A129" s="2" t="s">
        <v>265</v>
      </c>
      <c r="B129" s="2" t="s">
        <v>266</v>
      </c>
      <c r="C129" s="2">
        <v>80</v>
      </c>
      <c r="D129" s="2">
        <v>54</v>
      </c>
      <c r="E129" s="2">
        <v>47</v>
      </c>
      <c r="F129" s="2">
        <v>48</v>
      </c>
      <c r="G129" s="2">
        <v>55</v>
      </c>
      <c r="H129" s="2">
        <v>98</v>
      </c>
      <c r="I129" s="2">
        <v>96</v>
      </c>
      <c r="J129" s="2">
        <v>97</v>
      </c>
      <c r="K129" s="2">
        <v>97</v>
      </c>
      <c r="L129" s="2">
        <v>672</v>
      </c>
      <c r="M129" s="2" t="s">
        <v>11</v>
      </c>
    </row>
  </sheetData>
  <autoFilter ref="L1:L129" xr:uid="{00000000-0001-0000-0000-000000000000}"/>
  <conditionalFormatting sqref="L1:L1048576">
    <cfRule type="cellIs" dxfId="4" priority="1" operator="greaterThan">
      <formula>810</formula>
    </cfRule>
    <cfRule type="cellIs" dxfId="3" priority="2" operator="greaterThan">
      <formula>810</formula>
    </cfRule>
  </conditionalFormatting>
  <conditionalFormatting sqref="M1:M1048576">
    <cfRule type="containsText" dxfId="2" priority="3" operator="containsText" text="Promo">
      <formula>NOT(ISERROR(SEARCH("Promo",M1)))</formula>
    </cfRule>
    <cfRule type="containsText" dxfId="1" priority="4" operator="containsText" text="Pass">
      <formula>NOT(ISERROR(SEARCH("Pass",M1)))</formula>
    </cfRule>
  </conditionalFormatting>
  <conditionalFormatting sqref="M2">
    <cfRule type="containsText" dxfId="0" priority="5" operator="containsText" text="PASS">
      <formula>NOT(ISERROR(SEARCH("PASS",M2)))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E7" sqref="E7"/>
    </sheetView>
  </sheetViews>
  <sheetFormatPr defaultRowHeight="14.4" x14ac:dyDescent="0.3"/>
  <cols>
    <col min="1" max="1" width="13.77734375" bestFit="1" customWidth="1"/>
    <col min="2" max="2" width="10.33203125" customWidth="1"/>
    <col min="3" max="3" width="17" customWidth="1"/>
  </cols>
  <sheetData>
    <row r="1" spans="1:4" x14ac:dyDescent="0.3">
      <c r="A1" s="3" t="s">
        <v>267</v>
      </c>
      <c r="B1" s="3" t="s">
        <v>268</v>
      </c>
      <c r="C1" s="5" t="s">
        <v>269</v>
      </c>
    </row>
    <row r="2" spans="1:4" x14ac:dyDescent="0.3">
      <c r="A2" t="s">
        <v>11</v>
      </c>
      <c r="B2">
        <v>105</v>
      </c>
      <c r="C2" s="4">
        <f>SUM(B2)/SUM($B$2:$B$3)</f>
        <v>0.8203125</v>
      </c>
    </row>
    <row r="3" spans="1:4" x14ac:dyDescent="0.3">
      <c r="A3" t="s">
        <v>26</v>
      </c>
      <c r="B3">
        <v>23</v>
      </c>
      <c r="C3" s="4">
        <f>SUM(B3)/SUM($B$2:$B$3)</f>
        <v>0.1796875</v>
      </c>
    </row>
    <row r="7" spans="1:4" ht="31.2" x14ac:dyDescent="0.6">
      <c r="B7" s="11" t="s">
        <v>274</v>
      </c>
      <c r="D7" s="13"/>
    </row>
    <row r="8" spans="1:4" x14ac:dyDescent="0.3">
      <c r="A8" s="3" t="s">
        <v>267</v>
      </c>
      <c r="B8" s="3" t="s">
        <v>268</v>
      </c>
      <c r="C8" s="5" t="s">
        <v>269</v>
      </c>
    </row>
    <row r="9" spans="1:4" x14ac:dyDescent="0.3">
      <c r="A9" t="s">
        <v>11</v>
      </c>
      <c r="B9">
        <v>49</v>
      </c>
      <c r="C9" s="4">
        <f>SUM(B9)/SUM($B$2:$B$3)</f>
        <v>0.3828125</v>
      </c>
    </row>
    <row r="10" spans="1:4" x14ac:dyDescent="0.3">
      <c r="A10" t="s">
        <v>26</v>
      </c>
      <c r="B10">
        <v>14</v>
      </c>
      <c r="C10" s="4">
        <f>SUM(B10)/SUM($B$2:$B$3)</f>
        <v>0.109375</v>
      </c>
    </row>
    <row r="14" spans="1:4" ht="33.6" x14ac:dyDescent="0.65">
      <c r="B14" s="12" t="s">
        <v>275</v>
      </c>
      <c r="D14" s="13"/>
    </row>
    <row r="15" spans="1:4" x14ac:dyDescent="0.3">
      <c r="A15" s="3" t="s">
        <v>267</v>
      </c>
      <c r="B15" s="3" t="s">
        <v>268</v>
      </c>
      <c r="C15" s="5" t="s">
        <v>269</v>
      </c>
    </row>
    <row r="16" spans="1:4" x14ac:dyDescent="0.3">
      <c r="A16" t="s">
        <v>11</v>
      </c>
      <c r="B16">
        <v>56</v>
      </c>
      <c r="C16" s="4">
        <f>SUM(B16)/SUM($B$2:$B$3)</f>
        <v>0.4375</v>
      </c>
    </row>
    <row r="17" spans="1:3" x14ac:dyDescent="0.3">
      <c r="A17" t="s">
        <v>26</v>
      </c>
      <c r="B17">
        <v>9</v>
      </c>
      <c r="C17" s="4">
        <f>SUM(B17)/SUM($B$2:$B$3)</f>
        <v>7.03125E-2</v>
      </c>
    </row>
  </sheetData>
  <pageMargins left="0.75" right="0.75" top="1" bottom="1" header="0.5" footer="0.5"/>
  <pageSetup paperSize="9"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>
      <selection activeCell="D8" sqref="D8"/>
    </sheetView>
  </sheetViews>
  <sheetFormatPr defaultRowHeight="14.4" x14ac:dyDescent="0.3"/>
  <cols>
    <col min="1" max="1" width="9.21875" customWidth="1"/>
    <col min="2" max="2" width="20.5546875" customWidth="1"/>
    <col min="3" max="3" width="19.44140625" customWidth="1"/>
    <col min="4" max="4" width="14.21875" customWidth="1"/>
  </cols>
  <sheetData>
    <row r="1" spans="1:4" ht="18" customHeight="1" x14ac:dyDescent="0.35">
      <c r="A1" s="6" t="s">
        <v>270</v>
      </c>
      <c r="B1" s="6" t="s">
        <v>271</v>
      </c>
      <c r="C1" s="7" t="s">
        <v>272</v>
      </c>
      <c r="D1" s="8" t="s">
        <v>273</v>
      </c>
    </row>
    <row r="2" spans="1:4" ht="18" customHeight="1" x14ac:dyDescent="0.35">
      <c r="A2" s="9" t="s">
        <v>2</v>
      </c>
      <c r="B2" s="9">
        <v>117</v>
      </c>
      <c r="C2" s="9">
        <f>SUM(128-B2)</f>
        <v>11</v>
      </c>
      <c r="D2" s="10">
        <f>SUM(B2)/128</f>
        <v>0.9140625</v>
      </c>
    </row>
    <row r="3" spans="1:4" ht="18" customHeight="1" x14ac:dyDescent="0.35">
      <c r="A3" s="9" t="s">
        <v>3</v>
      </c>
      <c r="B3" s="9">
        <v>116</v>
      </c>
      <c r="C3" s="9">
        <f>SUM(128-B3)</f>
        <v>12</v>
      </c>
      <c r="D3" s="10">
        <f>SUM(B3)/128</f>
        <v>0.90625</v>
      </c>
    </row>
    <row r="4" spans="1:4" ht="18" customHeight="1" x14ac:dyDescent="0.35">
      <c r="A4" s="9" t="s">
        <v>4</v>
      </c>
      <c r="B4" s="9">
        <v>126</v>
      </c>
      <c r="C4" s="9">
        <f>SUM(128-B4)</f>
        <v>2</v>
      </c>
      <c r="D4" s="10">
        <f>SUM(B4)/128</f>
        <v>0.984375</v>
      </c>
    </row>
    <row r="5" spans="1:4" ht="18" customHeight="1" x14ac:dyDescent="0.35">
      <c r="A5" s="9" t="s">
        <v>5</v>
      </c>
      <c r="B5" s="9">
        <v>116</v>
      </c>
      <c r="C5" s="9">
        <f>SUM(128-B5)</f>
        <v>12</v>
      </c>
      <c r="D5" s="10">
        <f>SUM(B5)/128</f>
        <v>0.90625</v>
      </c>
    </row>
    <row r="6" spans="1:4" ht="18" customHeight="1" x14ac:dyDescent="0.35">
      <c r="A6" s="9" t="s">
        <v>6</v>
      </c>
      <c r="B6" s="9">
        <v>127</v>
      </c>
      <c r="C6" s="9">
        <f>SUM(128-B6)</f>
        <v>1</v>
      </c>
      <c r="D6" s="10">
        <f>SUM(B6)/128</f>
        <v>0.9921875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>
      <selection activeCell="M6" sqref="M6"/>
    </sheetView>
  </sheetViews>
  <sheetFormatPr defaultRowHeight="14.4" x14ac:dyDescent="0.3"/>
  <cols>
    <col min="1" max="1" width="13.77734375" bestFit="1" customWidth="1"/>
    <col min="2" max="2" width="10.33203125" customWidth="1"/>
    <col min="3" max="3" width="17" customWidth="1"/>
    <col min="12" max="12" width="13.33203125" bestFit="1" customWidth="1"/>
    <col min="13" max="13" width="27.77734375" bestFit="1" customWidth="1"/>
    <col min="14" max="14" width="26.77734375" bestFit="1" customWidth="1"/>
    <col min="15" max="15" width="17.77734375" bestFit="1" customWidth="1"/>
  </cols>
  <sheetData>
    <row r="1" spans="1:15" ht="18" x14ac:dyDescent="0.35">
      <c r="A1" s="3" t="s">
        <v>267</v>
      </c>
      <c r="B1" s="3" t="s">
        <v>268</v>
      </c>
      <c r="C1" s="5" t="s">
        <v>269</v>
      </c>
      <c r="L1" s="6" t="s">
        <v>270</v>
      </c>
      <c r="M1" s="6" t="s">
        <v>271</v>
      </c>
      <c r="N1" s="7" t="s">
        <v>272</v>
      </c>
      <c r="O1" s="8" t="s">
        <v>273</v>
      </c>
    </row>
    <row r="2" spans="1:15" ht="18" x14ac:dyDescent="0.35">
      <c r="A2" t="s">
        <v>11</v>
      </c>
      <c r="B2">
        <v>49</v>
      </c>
      <c r="C2" s="4">
        <f>SUM(B2)/SUM($B$2:$B$3)</f>
        <v>0.77777777777777779</v>
      </c>
      <c r="L2" s="9" t="s">
        <v>2</v>
      </c>
      <c r="M2" s="9">
        <v>56</v>
      </c>
      <c r="N2" s="9">
        <f t="shared" ref="N2:N6" si="0">SUM(63-M2)</f>
        <v>7</v>
      </c>
      <c r="O2" s="10">
        <f t="shared" ref="O2:O6" si="1">SUM(M2)/63</f>
        <v>0.88888888888888884</v>
      </c>
    </row>
    <row r="3" spans="1:15" ht="18" x14ac:dyDescent="0.35">
      <c r="A3" t="s">
        <v>26</v>
      </c>
      <c r="B3">
        <v>14</v>
      </c>
      <c r="C3" s="4">
        <f>SUM(B3)/SUM($B$2:$B$3)</f>
        <v>0.22222222222222221</v>
      </c>
      <c r="L3" s="9" t="s">
        <v>3</v>
      </c>
      <c r="M3" s="9">
        <v>56</v>
      </c>
      <c r="N3" s="9">
        <f t="shared" si="0"/>
        <v>7</v>
      </c>
      <c r="O3" s="10">
        <f t="shared" si="1"/>
        <v>0.88888888888888884</v>
      </c>
    </row>
    <row r="4" spans="1:15" ht="18" x14ac:dyDescent="0.35">
      <c r="L4" s="9" t="s">
        <v>4</v>
      </c>
      <c r="M4" s="9">
        <v>62</v>
      </c>
      <c r="N4" s="9">
        <f t="shared" si="0"/>
        <v>1</v>
      </c>
      <c r="O4" s="10">
        <f t="shared" si="1"/>
        <v>0.98412698412698407</v>
      </c>
    </row>
    <row r="5" spans="1:15" ht="18" x14ac:dyDescent="0.35">
      <c r="L5" s="9" t="s">
        <v>5</v>
      </c>
      <c r="M5" s="9">
        <v>55</v>
      </c>
      <c r="N5" s="9">
        <f t="shared" si="0"/>
        <v>8</v>
      </c>
      <c r="O5" s="10">
        <f t="shared" si="1"/>
        <v>0.87301587301587302</v>
      </c>
    </row>
    <row r="6" spans="1:15" ht="18" x14ac:dyDescent="0.35">
      <c r="L6" s="9" t="s">
        <v>6</v>
      </c>
      <c r="M6" s="9">
        <v>62</v>
      </c>
      <c r="N6" s="9">
        <f t="shared" si="0"/>
        <v>1</v>
      </c>
      <c r="O6" s="10">
        <f t="shared" si="1"/>
        <v>0.98412698412698407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523A-8E88-4DE6-87B1-FB66200A8C18}">
  <dimension ref="A1:O6"/>
  <sheetViews>
    <sheetView workbookViewId="0">
      <selection activeCell="M6" sqref="M6"/>
    </sheetView>
  </sheetViews>
  <sheetFormatPr defaultRowHeight="14.4" x14ac:dyDescent="0.3"/>
  <cols>
    <col min="1" max="1" width="13.77734375" bestFit="1" customWidth="1"/>
    <col min="2" max="2" width="10.33203125" customWidth="1"/>
    <col min="3" max="3" width="17" customWidth="1"/>
    <col min="12" max="12" width="13.33203125" bestFit="1" customWidth="1"/>
    <col min="13" max="13" width="27.77734375" bestFit="1" customWidth="1"/>
    <col min="14" max="14" width="26.77734375" bestFit="1" customWidth="1"/>
    <col min="15" max="15" width="17.77734375" bestFit="1" customWidth="1"/>
  </cols>
  <sheetData>
    <row r="1" spans="1:15" ht="18" x14ac:dyDescent="0.35">
      <c r="A1" s="3" t="s">
        <v>267</v>
      </c>
      <c r="B1" s="3" t="s">
        <v>268</v>
      </c>
      <c r="C1" s="5" t="s">
        <v>269</v>
      </c>
      <c r="L1" s="6" t="s">
        <v>270</v>
      </c>
      <c r="M1" s="6" t="s">
        <v>271</v>
      </c>
      <c r="N1" s="7" t="s">
        <v>272</v>
      </c>
      <c r="O1" s="8" t="s">
        <v>273</v>
      </c>
    </row>
    <row r="2" spans="1:15" ht="18" x14ac:dyDescent="0.35">
      <c r="A2" t="s">
        <v>11</v>
      </c>
      <c r="B2">
        <v>56</v>
      </c>
      <c r="C2" s="4">
        <f>SUM(B2)/SUM($B$2:$B$3)</f>
        <v>0.86153846153846159</v>
      </c>
      <c r="L2" s="9" t="s">
        <v>2</v>
      </c>
      <c r="M2" s="9">
        <v>61</v>
      </c>
      <c r="N2" s="9">
        <f t="shared" ref="N2:N6" si="0">SUM(65-M2)</f>
        <v>4</v>
      </c>
      <c r="O2" s="10">
        <f t="shared" ref="O2:O6" si="1">SUM(M2)/65</f>
        <v>0.93846153846153846</v>
      </c>
    </row>
    <row r="3" spans="1:15" ht="18" x14ac:dyDescent="0.35">
      <c r="A3" t="s">
        <v>26</v>
      </c>
      <c r="B3">
        <v>9</v>
      </c>
      <c r="C3" s="4">
        <f>SUM(B3)/SUM($B$2:$B$3)</f>
        <v>0.13846153846153847</v>
      </c>
      <c r="L3" s="9" t="s">
        <v>3</v>
      </c>
      <c r="M3" s="9">
        <v>60</v>
      </c>
      <c r="N3" s="9">
        <f t="shared" si="0"/>
        <v>5</v>
      </c>
      <c r="O3" s="10">
        <f t="shared" si="1"/>
        <v>0.92307692307692313</v>
      </c>
    </row>
    <row r="4" spans="1:15" ht="18" x14ac:dyDescent="0.35">
      <c r="L4" s="9" t="s">
        <v>4</v>
      </c>
      <c r="M4" s="9">
        <v>64</v>
      </c>
      <c r="N4" s="9">
        <f t="shared" si="0"/>
        <v>1</v>
      </c>
      <c r="O4" s="10">
        <f t="shared" si="1"/>
        <v>0.98461538461538467</v>
      </c>
    </row>
    <row r="5" spans="1:15" ht="18" x14ac:dyDescent="0.35">
      <c r="L5" s="9" t="s">
        <v>5</v>
      </c>
      <c r="M5" s="9">
        <v>61</v>
      </c>
      <c r="N5" s="9">
        <f t="shared" si="0"/>
        <v>4</v>
      </c>
      <c r="O5" s="10">
        <f t="shared" si="1"/>
        <v>0.93846153846153846</v>
      </c>
    </row>
    <row r="6" spans="1:15" ht="18" x14ac:dyDescent="0.35">
      <c r="L6" s="9" t="s">
        <v>6</v>
      </c>
      <c r="M6" s="9">
        <v>65</v>
      </c>
      <c r="N6" s="9">
        <f t="shared" si="0"/>
        <v>0</v>
      </c>
      <c r="O6" s="10">
        <f t="shared" si="1"/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1EE2-AF68-47C7-8899-84ECB47F4A1A}">
  <dimension ref="E4:M17"/>
  <sheetViews>
    <sheetView topLeftCell="G1" workbookViewId="0">
      <selection activeCell="M6" sqref="M6"/>
    </sheetView>
  </sheetViews>
  <sheetFormatPr defaultRowHeight="14.4" x14ac:dyDescent="0.3"/>
  <cols>
    <col min="1" max="1" width="22.44140625" customWidth="1"/>
    <col min="3" max="3" width="22.109375" customWidth="1"/>
    <col min="5" max="5" width="19.6640625" customWidth="1"/>
    <col min="7" max="7" width="18.21875" customWidth="1"/>
    <col min="9" max="9" width="17" customWidth="1"/>
    <col min="11" max="11" width="20.6640625" customWidth="1"/>
    <col min="13" max="13" width="16.88671875" customWidth="1"/>
  </cols>
  <sheetData>
    <row r="4" spans="5:13" ht="15" thickBot="1" x14ac:dyDescent="0.35">
      <c r="E4" s="14"/>
    </row>
    <row r="5" spans="5:13" ht="15" thickBot="1" x14ac:dyDescent="0.35">
      <c r="E5" s="15" t="s">
        <v>2</v>
      </c>
      <c r="G5" s="15" t="s">
        <v>3</v>
      </c>
      <c r="I5" s="15" t="s">
        <v>4</v>
      </c>
      <c r="K5" s="15" t="s">
        <v>5</v>
      </c>
      <c r="M5" s="15" t="s">
        <v>6</v>
      </c>
    </row>
    <row r="6" spans="5:13" ht="14.4" customHeight="1" thickBot="1" x14ac:dyDescent="0.35">
      <c r="E6" s="16" t="s">
        <v>24</v>
      </c>
      <c r="G6" s="16" t="s">
        <v>24</v>
      </c>
      <c r="I6" s="16" t="s">
        <v>24</v>
      </c>
      <c r="K6" s="16" t="s">
        <v>57</v>
      </c>
      <c r="M6" s="16" t="s">
        <v>24</v>
      </c>
    </row>
    <row r="7" spans="5:13" ht="16.8" customHeight="1" thickBot="1" x14ac:dyDescent="0.35">
      <c r="E7" s="16" t="s">
        <v>43</v>
      </c>
      <c r="G7" s="16" t="s">
        <v>37</v>
      </c>
      <c r="I7" s="16" t="s">
        <v>159</v>
      </c>
      <c r="K7" s="16" t="s">
        <v>59</v>
      </c>
    </row>
    <row r="8" spans="5:13" ht="13.8" customHeight="1" thickBot="1" x14ac:dyDescent="0.35">
      <c r="E8" s="16" t="s">
        <v>57</v>
      </c>
      <c r="G8" s="16" t="s">
        <v>43</v>
      </c>
      <c r="K8" s="16" t="s">
        <v>79</v>
      </c>
    </row>
    <row r="9" spans="5:13" ht="12" customHeight="1" thickBot="1" x14ac:dyDescent="0.35">
      <c r="E9" s="16" t="s">
        <v>69</v>
      </c>
      <c r="G9" s="16" t="s">
        <v>57</v>
      </c>
      <c r="K9" s="16" t="s">
        <v>95</v>
      </c>
    </row>
    <row r="10" spans="5:13" ht="13.8" customHeight="1" thickBot="1" x14ac:dyDescent="0.35">
      <c r="E10" s="16" t="s">
        <v>99</v>
      </c>
      <c r="G10" s="16" t="s">
        <v>99</v>
      </c>
      <c r="K10" s="16" t="s">
        <v>99</v>
      </c>
    </row>
    <row r="11" spans="5:13" ht="15" thickBot="1" x14ac:dyDescent="0.35">
      <c r="E11" s="16" t="s">
        <v>101</v>
      </c>
      <c r="G11" s="16" t="s">
        <v>101</v>
      </c>
      <c r="K11" s="16" t="s">
        <v>111</v>
      </c>
    </row>
    <row r="12" spans="5:13" ht="15" thickBot="1" x14ac:dyDescent="0.35">
      <c r="E12" s="16" t="s">
        <v>129</v>
      </c>
      <c r="G12" s="16" t="s">
        <v>131</v>
      </c>
      <c r="K12" s="16" t="s">
        <v>125</v>
      </c>
    </row>
    <row r="13" spans="5:13" ht="15" thickBot="1" x14ac:dyDescent="0.35">
      <c r="E13" s="16" t="s">
        <v>159</v>
      </c>
      <c r="G13" s="16" t="s">
        <v>169</v>
      </c>
      <c r="K13" s="16" t="s">
        <v>129</v>
      </c>
    </row>
    <row r="14" spans="5:13" ht="15" thickBot="1" x14ac:dyDescent="0.35">
      <c r="E14" s="16" t="s">
        <v>169</v>
      </c>
      <c r="G14" s="16" t="s">
        <v>181</v>
      </c>
      <c r="K14" s="16" t="s">
        <v>169</v>
      </c>
    </row>
    <row r="15" spans="5:13" ht="15" thickBot="1" x14ac:dyDescent="0.35">
      <c r="E15" s="16" t="s">
        <v>177</v>
      </c>
      <c r="G15" s="16" t="s">
        <v>223</v>
      </c>
      <c r="K15" s="16" t="s">
        <v>181</v>
      </c>
    </row>
    <row r="16" spans="5:13" ht="15" thickBot="1" x14ac:dyDescent="0.35">
      <c r="E16" s="16" t="s">
        <v>227</v>
      </c>
      <c r="G16" s="16" t="s">
        <v>229</v>
      </c>
      <c r="K16" s="16" t="s">
        <v>223</v>
      </c>
    </row>
    <row r="17" spans="7:11" ht="15" thickBot="1" x14ac:dyDescent="0.35">
      <c r="G17" s="16" t="s">
        <v>233</v>
      </c>
      <c r="K17" s="16" t="s">
        <v>227</v>
      </c>
    </row>
  </sheetData>
  <dataConsolidate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Marks_Sheet</vt:lpstr>
      <vt:lpstr>Pass_Percentage</vt:lpstr>
      <vt:lpstr>Sub_Percentage</vt:lpstr>
      <vt:lpstr>CME_1</vt:lpstr>
      <vt:lpstr>CME_2</vt:lpstr>
      <vt:lpstr>Backlogs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Madiya</dc:creator>
  <cp:lastModifiedBy>Jaswanth Madiya</cp:lastModifiedBy>
  <dcterms:created xsi:type="dcterms:W3CDTF">2015-06-05T18:17:20Z</dcterms:created>
  <dcterms:modified xsi:type="dcterms:W3CDTF">2023-07-11T09:38:10Z</dcterms:modified>
</cp:coreProperties>
</file>