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Sheet2" sheetId="2" r:id="rId1"/>
    <sheet name="Sheet3" sheetId="3" r:id="rId2"/>
    <sheet name="Sheet4" sheetId="4" r:id="rId3"/>
  </sheets>
  <calcPr calcId="124519"/>
</workbook>
</file>

<file path=xl/calcChain.xml><?xml version="1.0" encoding="utf-8"?>
<calcChain xmlns="http://schemas.openxmlformats.org/spreadsheetml/2006/main">
  <c r="M4" i="3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3"/>
  <c r="M133" i="4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L67"/>
  <c r="M67" s="1"/>
  <c r="L66"/>
  <c r="M66" s="1"/>
  <c r="L65"/>
  <c r="M65" s="1"/>
  <c r="L64"/>
  <c r="M64" s="1"/>
  <c r="L63"/>
  <c r="M63" s="1"/>
  <c r="L62"/>
  <c r="M62" s="1"/>
  <c r="L61"/>
  <c r="M61" s="1"/>
  <c r="L60"/>
  <c r="M60" s="1"/>
  <c r="L59"/>
  <c r="M59" s="1"/>
  <c r="L58"/>
  <c r="M58" s="1"/>
  <c r="L57"/>
  <c r="M57" s="1"/>
  <c r="L56"/>
  <c r="M56" s="1"/>
  <c r="L55"/>
  <c r="M55" s="1"/>
  <c r="L54"/>
  <c r="M54" s="1"/>
  <c r="L53"/>
  <c r="M53" s="1"/>
  <c r="L52"/>
  <c r="M52" s="1"/>
  <c r="L51"/>
  <c r="M51" s="1"/>
  <c r="L50"/>
  <c r="M50" s="1"/>
  <c r="L49"/>
  <c r="M49" s="1"/>
  <c r="L48"/>
  <c r="M48" s="1"/>
  <c r="L47"/>
  <c r="M47" s="1"/>
  <c r="L46"/>
  <c r="M46" s="1"/>
  <c r="L45"/>
  <c r="M45" s="1"/>
  <c r="L44"/>
  <c r="M44" s="1"/>
  <c r="L43"/>
  <c r="M43" s="1"/>
  <c r="L42"/>
  <c r="M42" s="1"/>
  <c r="L41"/>
  <c r="M41" s="1"/>
  <c r="L40"/>
  <c r="M40" s="1"/>
  <c r="L39"/>
  <c r="M39" s="1"/>
  <c r="L38"/>
  <c r="M38" s="1"/>
  <c r="L37"/>
  <c r="M37" s="1"/>
  <c r="L36"/>
  <c r="M36" s="1"/>
  <c r="L35"/>
  <c r="M35" s="1"/>
  <c r="L34"/>
  <c r="M34" s="1"/>
  <c r="L33"/>
  <c r="M33" s="1"/>
  <c r="L32"/>
  <c r="M32" s="1"/>
  <c r="L31"/>
  <c r="M31" s="1"/>
  <c r="L30"/>
  <c r="M30" s="1"/>
  <c r="L29"/>
  <c r="M29" s="1"/>
  <c r="L28"/>
  <c r="M28" s="1"/>
  <c r="L27"/>
  <c r="M27" s="1"/>
  <c r="L26"/>
  <c r="M26" s="1"/>
  <c r="L25"/>
  <c r="M25" s="1"/>
  <c r="L24"/>
  <c r="M24" s="1"/>
  <c r="L23"/>
  <c r="M23" s="1"/>
  <c r="L22"/>
  <c r="M22" s="1"/>
  <c r="L21"/>
  <c r="M21" s="1"/>
  <c r="L20"/>
  <c r="M20" s="1"/>
  <c r="L19"/>
  <c r="M19" s="1"/>
  <c r="L18"/>
  <c r="M18" s="1"/>
  <c r="L17"/>
  <c r="M17" s="1"/>
  <c r="L16"/>
  <c r="M16" s="1"/>
  <c r="L15"/>
  <c r="M15" s="1"/>
  <c r="L14"/>
  <c r="M14" s="1"/>
  <c r="L13"/>
  <c r="M13" s="1"/>
  <c r="L12"/>
  <c r="M12" s="1"/>
  <c r="L11"/>
  <c r="M11" s="1"/>
  <c r="L10"/>
  <c r="M10" s="1"/>
  <c r="L9"/>
  <c r="M9" s="1"/>
  <c r="L8"/>
  <c r="M8" s="1"/>
  <c r="L7"/>
  <c r="M7" s="1"/>
  <c r="L6"/>
  <c r="M6" s="1"/>
  <c r="L5"/>
  <c r="M5" s="1"/>
  <c r="L4"/>
  <c r="M4" s="1"/>
  <c r="L3"/>
  <c r="M3" s="1"/>
</calcChain>
</file>

<file path=xl/sharedStrings.xml><?xml version="1.0" encoding="utf-8"?>
<sst xmlns="http://schemas.openxmlformats.org/spreadsheetml/2006/main" count="2823" uniqueCount="1053">
  <si>
    <t>PIN</t>
  </si>
  <si>
    <t>NAME</t>
  </si>
  <si>
    <t>21596-CM-OO1</t>
  </si>
  <si>
    <t>21596-CM-OO2</t>
  </si>
  <si>
    <t>21596-CM-OO3</t>
  </si>
  <si>
    <t>21596-CM-OO4</t>
  </si>
  <si>
    <t>21596-CM-OO5</t>
  </si>
  <si>
    <t>21596-CM-OO6</t>
  </si>
  <si>
    <t>21596-CM-OO7</t>
  </si>
  <si>
    <t>21596-CM-OO8</t>
  </si>
  <si>
    <t>21596-CM-OO9</t>
  </si>
  <si>
    <t>21596-CM-OO10</t>
  </si>
  <si>
    <t>21596-CM-OO11</t>
  </si>
  <si>
    <t>21596-CM-OO12</t>
  </si>
  <si>
    <t>21596-CM-OO13</t>
  </si>
  <si>
    <t>21596-CM-OO14</t>
  </si>
  <si>
    <t>21596-CM-OO15</t>
  </si>
  <si>
    <t>21596-CM-OO16</t>
  </si>
  <si>
    <t>21596-CM-OO17</t>
  </si>
  <si>
    <t>21596-CM-OO18</t>
  </si>
  <si>
    <t>21596-CM-OO19</t>
  </si>
  <si>
    <t>21596-CM-OO20</t>
  </si>
  <si>
    <t>21596-CM-OO21</t>
  </si>
  <si>
    <t>21596-CM-OO22</t>
  </si>
  <si>
    <t>21596-CM-OO23</t>
  </si>
  <si>
    <t>21596-CM-OO24</t>
  </si>
  <si>
    <t>21596-CM-OO25</t>
  </si>
  <si>
    <t>21596-CM-OO26</t>
  </si>
  <si>
    <t>21596-CM-OO27</t>
  </si>
  <si>
    <t>21596-CM-OO28</t>
  </si>
  <si>
    <t>21596-CM-OO29</t>
  </si>
  <si>
    <t>21596-CM-OO30</t>
  </si>
  <si>
    <t>21596-CM-OO31</t>
  </si>
  <si>
    <t>21596-CM-OO32</t>
  </si>
  <si>
    <t>21596-CM-OO33</t>
  </si>
  <si>
    <t>21596-CM-OO34</t>
  </si>
  <si>
    <t>21596-CM-OO35</t>
  </si>
  <si>
    <t>21596-CM-OO36</t>
  </si>
  <si>
    <t>21596-CM-OO37</t>
  </si>
  <si>
    <t>21596-CM-OO38</t>
  </si>
  <si>
    <t>21596-CM-OO39</t>
  </si>
  <si>
    <t>21596-CM-OO40</t>
  </si>
  <si>
    <t>21596-CM-OO41</t>
  </si>
  <si>
    <t>21596-CM-OO42</t>
  </si>
  <si>
    <t>21596-CM-OO43</t>
  </si>
  <si>
    <t>21596-CM-OO44</t>
  </si>
  <si>
    <t>21596-CM-OO45</t>
  </si>
  <si>
    <t>21596-CM-OO46</t>
  </si>
  <si>
    <t>21596-CM-OO47</t>
  </si>
  <si>
    <t>21596-CM-OO48</t>
  </si>
  <si>
    <t>21596-CM-OO49</t>
  </si>
  <si>
    <t>21596-CM-OO50</t>
  </si>
  <si>
    <t>21596-CM-OO51</t>
  </si>
  <si>
    <t>21596-CM-OO52</t>
  </si>
  <si>
    <t>21596-CM-OO53</t>
  </si>
  <si>
    <t>21596-CM-OO54</t>
  </si>
  <si>
    <t>21596-CM-OO55</t>
  </si>
  <si>
    <t>21596-CM-OO57</t>
  </si>
  <si>
    <t>21596-CM-OO58</t>
  </si>
  <si>
    <t>21596-CM-OO59</t>
  </si>
  <si>
    <t>21596-CM-OO60</t>
  </si>
  <si>
    <t>21596-CM-OO61</t>
  </si>
  <si>
    <t>21596-CM-OO62</t>
  </si>
  <si>
    <t>21596-CM-OO63</t>
  </si>
  <si>
    <t>21596-CM-OO64</t>
  </si>
  <si>
    <t>21596-CM-OO65</t>
  </si>
  <si>
    <t>21596-CM-OO66</t>
  </si>
  <si>
    <t>21596-CM-OO67</t>
  </si>
  <si>
    <t>2022-2023 4TH sem results</t>
  </si>
  <si>
    <t>NA</t>
  </si>
  <si>
    <t>pass</t>
  </si>
  <si>
    <t>21596-cm-069</t>
  </si>
  <si>
    <t>21596-cm-070</t>
  </si>
  <si>
    <t>21596-cm-071</t>
  </si>
  <si>
    <t>21596-cm-072</t>
  </si>
  <si>
    <t>21596-cm-073</t>
  </si>
  <si>
    <t>21596-cm-074</t>
  </si>
  <si>
    <t>21596-cm-075</t>
  </si>
  <si>
    <t>21596-cm-076</t>
  </si>
  <si>
    <t>21596-cm-077</t>
  </si>
  <si>
    <t>21596-cm-078</t>
  </si>
  <si>
    <t>21596-cm-079</t>
  </si>
  <si>
    <t>21596-cm-080</t>
  </si>
  <si>
    <t>21596-cm-081</t>
  </si>
  <si>
    <t>21596-cm-082</t>
  </si>
  <si>
    <t>21596-cm-083</t>
  </si>
  <si>
    <t>21596-cm-084</t>
  </si>
  <si>
    <t>21596-cm-085</t>
  </si>
  <si>
    <t>21596-cm-086</t>
  </si>
  <si>
    <t>21596-cm-087</t>
  </si>
  <si>
    <t>21596-cm-088</t>
  </si>
  <si>
    <t>21596-cm-089</t>
  </si>
  <si>
    <t>21596-cm-090</t>
  </si>
  <si>
    <t>21596-cm-091</t>
  </si>
  <si>
    <t>21596-cm-092</t>
  </si>
  <si>
    <t>21596-cm-093</t>
  </si>
  <si>
    <t>21596-cm-094</t>
  </si>
  <si>
    <t>21596-cm-095</t>
  </si>
  <si>
    <t>21596-cm-096</t>
  </si>
  <si>
    <t>Pass</t>
  </si>
  <si>
    <t>21596-cm-097</t>
  </si>
  <si>
    <t>21596-cm-098</t>
  </si>
  <si>
    <t>21596-cm-099</t>
  </si>
  <si>
    <t>21596-cm-100</t>
  </si>
  <si>
    <t>21596-cm-101</t>
  </si>
  <si>
    <t>21596-cm-102</t>
  </si>
  <si>
    <t>21596-cm-103</t>
  </si>
  <si>
    <t>21596-cm-104</t>
  </si>
  <si>
    <t>21596-cm-105</t>
  </si>
  <si>
    <t>21596-cm-106</t>
  </si>
  <si>
    <t>21596-cm-107</t>
  </si>
  <si>
    <t>21596-cm-108</t>
  </si>
  <si>
    <t>21596-cm-109</t>
  </si>
  <si>
    <t>21596-cm-110</t>
  </si>
  <si>
    <t>21596-cm-111</t>
  </si>
  <si>
    <t>21596-cm-112</t>
  </si>
  <si>
    <t>21596-cm-113</t>
  </si>
  <si>
    <t>21596-cm-114</t>
  </si>
  <si>
    <t>21596-cm-115</t>
  </si>
  <si>
    <t>21596-cm-116</t>
  </si>
  <si>
    <t>21596-cm-117</t>
  </si>
  <si>
    <t>21596-cm-118</t>
  </si>
  <si>
    <t>21596-cm-119</t>
  </si>
  <si>
    <t>21596-cm-120</t>
  </si>
  <si>
    <t>21596-cm-121</t>
  </si>
  <si>
    <t>21596-cm-122</t>
  </si>
  <si>
    <t>21596-cm-123</t>
  </si>
  <si>
    <t>21596-cm-124</t>
  </si>
  <si>
    <t>21596-cm-125</t>
  </si>
  <si>
    <t>21596-cm-126</t>
  </si>
  <si>
    <t>21596-cm-127</t>
  </si>
  <si>
    <t>21596-cm-128</t>
  </si>
  <si>
    <t>21596-cm-129</t>
  </si>
  <si>
    <t>21596-cm-130</t>
  </si>
  <si>
    <t>21596-cm-131</t>
  </si>
  <si>
    <t>21596-cm-132</t>
  </si>
  <si>
    <t>PASS</t>
  </si>
  <si>
    <t>total</t>
  </si>
  <si>
    <t>per</t>
  </si>
  <si>
    <t>status</t>
  </si>
  <si>
    <t>F(402)</t>
  </si>
  <si>
    <t>F(401,402)</t>
  </si>
  <si>
    <t>F(404)</t>
  </si>
  <si>
    <t>F(401)</t>
  </si>
  <si>
    <t>F(401,402,404)</t>
  </si>
  <si>
    <t>F(401,404)</t>
  </si>
  <si>
    <t>F(401,403)</t>
  </si>
  <si>
    <t>F(402,404)</t>
  </si>
  <si>
    <t>F(403)</t>
  </si>
  <si>
    <t>ADARI MAHITHASRI</t>
  </si>
  <si>
    <t>ADDIPALLI KANAKA MAHALAKSHMI</t>
  </si>
  <si>
    <t>AKELLA SRI VENKATA PRIYATHAM</t>
  </si>
  <si>
    <t>ALLAM VAMSI</t>
  </si>
  <si>
    <t>AVANAPU GEETHA</t>
  </si>
  <si>
    <t>BADAGALA MOULIKA</t>
  </si>
  <si>
    <t>BANALA RAVINDRA</t>
  </si>
  <si>
    <t>BANDARU SREERAM</t>
  </si>
  <si>
    <t>BANDARU TEJA</t>
  </si>
  <si>
    <t>BATHINA SHANMUKH RAJU</t>
  </si>
  <si>
    <t>BHEESETTY LEKHANA SRI</t>
  </si>
  <si>
    <t>BONDA SURESH</t>
  </si>
  <si>
    <t>BONUGU VAMSHI</t>
  </si>
  <si>
    <t>BOYI SAI SIREESHA</t>
  </si>
  <si>
    <t>CHADUVULA CHAITANYA LAKSHMI</t>
  </si>
  <si>
    <t>CHIKKALA PAVITHRA</t>
  </si>
  <si>
    <t xml:space="preserve"> CHINNAM KIRANMAI</t>
  </si>
  <si>
    <t>CHINNI GOWTHAMI</t>
  </si>
  <si>
    <t>CHINTAKAYALA SANJAY</t>
  </si>
  <si>
    <t xml:space="preserve"> DADI ROHIT</t>
  </si>
  <si>
    <t>DAVALA MAHESH</t>
  </si>
  <si>
    <t>DEVARASETTI LEELA MOHAN RAO</t>
  </si>
  <si>
    <t>DARAPU HARIKA</t>
  </si>
  <si>
    <t xml:space="preserve"> DHARMALA VARAHA VENKATA 
LAKSHMI BHARGAVI</t>
  </si>
  <si>
    <t xml:space="preserve"> DINESH JENA</t>
  </si>
  <si>
    <t>DONGA LOHITH KUMAR</t>
  </si>
  <si>
    <t>DUDDUPUDI GANESH</t>
  </si>
  <si>
    <t>DUVVARAPU VAMSI RAM</t>
  </si>
  <si>
    <t>EGALA UMA</t>
  </si>
  <si>
    <t>ELUSURI RAGHURAM</t>
  </si>
  <si>
    <t>ESAKALAPALLI PAVAN SAI VARMA</t>
  </si>
  <si>
    <t>ESURU TEJESH</t>
  </si>
  <si>
    <t>GAMMINGI ABILASH</t>
  </si>
  <si>
    <t>GANTA NANDINI</t>
  </si>
  <si>
    <t>GAYATRI BEHERA</t>
  </si>
  <si>
    <t>GORLE LOKSHMITHA</t>
  </si>
  <si>
    <t>GUDIYA PADMA</t>
  </si>
  <si>
    <t>GUNDA RAGHAVENDRA</t>
  </si>
  <si>
    <t>GURRAM SIMHADRI</t>
  </si>
  <si>
    <t>GUTTULA DIVYA</t>
  </si>
  <si>
    <t>JAJIMOGGALA SRAVANTHI</t>
  </si>
  <si>
    <t>JAMI THARUN</t>
  </si>
  <si>
    <t>JYOTHI YELAMANCHILI</t>
  </si>
  <si>
    <t>JYOTHSNA SRI NAMBARI</t>
  </si>
  <si>
    <t>KAAMANA MERCY SIRISHA</t>
  </si>
  <si>
    <t>KADIYALA TARUN SAI PRADEEP
 KUMAR</t>
  </si>
  <si>
    <t>KAGITALA ROHITH SRINIVAS REDDY</t>
  </si>
  <si>
    <t>KAGITHALA MOHAN SAI</t>
  </si>
  <si>
    <t xml:space="preserve"> KALLA MOHAN SAI</t>
  </si>
  <si>
    <t>KALLURI SAI VIKAS RAM</t>
  </si>
  <si>
    <t>KARRI SAI</t>
  </si>
  <si>
    <t>KARRI VARDHAN</t>
  </si>
  <si>
    <t>KASARAPU SIDHARDHA</t>
  </si>
  <si>
    <t>KATAKOTA HEMANTH KUMAR</t>
  </si>
  <si>
    <t>KILAPARTHI SANJAY KUMAR</t>
  </si>
  <si>
    <t>KODA PRASANTHI LAKSHMI</t>
  </si>
  <si>
    <t xml:space="preserve"> KOLAGANI KISHORE</t>
  </si>
  <si>
    <t>KOLANATI SRUTHI</t>
  </si>
  <si>
    <t>KOLLIPARA S L K N VAISHNAVI</t>
  </si>
  <si>
    <t xml:space="preserve"> KONATHALA VARSHITHA</t>
  </si>
  <si>
    <t>KONCHADA KAMESWARARAO</t>
  </si>
  <si>
    <t>KONETI GANESH NAIDU</t>
  </si>
  <si>
    <t>KOPPADA NAVYA SRI</t>
  </si>
  <si>
    <t>KORADA THARUN</t>
  </si>
  <si>
    <t>KORLANA PURNIMA</t>
  </si>
  <si>
    <t>KOTHALANKA HEMA LATHA</t>
  </si>
  <si>
    <t>LADI SURAJ KUMAR</t>
  </si>
  <si>
    <t>MADHABATHULA ROHITH</t>
  </si>
  <si>
    <t>MADIYA JASWANTH</t>
  </si>
  <si>
    <t>MALLA SAI VENKATA PYDI KRISHNA MURTHI</t>
  </si>
  <si>
    <t>MANAPURAM HARINI</t>
  </si>
  <si>
    <t>MARISA KUSUMA</t>
  </si>
  <si>
    <t>MOHAMMED ABDUR RAHMAN</t>
  </si>
  <si>
    <t>MOLLETI CHANDI NAGA CHANIKYA</t>
  </si>
  <si>
    <t>MOLLI YASHASWINI</t>
  </si>
  <si>
    <t>MONDI NAGA DURGA RAMESH</t>
  </si>
  <si>
    <t>MOPADA POORNA MANIKANTA</t>
  </si>
  <si>
    <t>MOSURU GAYATHRI</t>
  </si>
  <si>
    <t>MULAVEESALA VENKATA SAMEER</t>
  </si>
  <si>
    <t>MULAVEESALA VENKATA SIVA NAGA SAI SIDDIQ</t>
  </si>
  <si>
    <t>MUTTA GANESH</t>
  </si>
  <si>
    <t>MYLAPALLI NANDINI</t>
  </si>
  <si>
    <t>NADIMPALLY DANUNJAY KRISHNA VARMA</t>
  </si>
  <si>
    <t>NAGETI BALA SAPTHA GIRISH</t>
  </si>
  <si>
    <t>NAKKA SURENDHAR</t>
  </si>
  <si>
    <t>NAMANA MANI CHANDAN SATYA VENKATA SAI</t>
  </si>
  <si>
    <t>NEIGAPULA PRADEEP KUMAR</t>
  </si>
  <si>
    <t>NIMMITI VASANTH KUMAR</t>
  </si>
  <si>
    <t>NOWDU THARUN</t>
  </si>
  <si>
    <t>PALLAM TANUSHA</t>
  </si>
  <si>
    <t>PANDRANKI VARALAKSHMI</t>
  </si>
  <si>
    <t>PENTAKOTA MADHAVI</t>
  </si>
  <si>
    <t>PENTAKOTA SAMBA SIVA RAO</t>
  </si>
  <si>
    <t>PENUMUDI ANAND MAHADEV</t>
  </si>
  <si>
    <t>PERLA BALU</t>
  </si>
  <si>
    <t>PILLA CHARAN SAI NAGENDRA</t>
  </si>
  <si>
    <t>POLIPALLI DILEEP KUMAR</t>
  </si>
  <si>
    <t>POTNURU PRAKASH</t>
  </si>
  <si>
    <t>RAJANA PAVAN KUMAR</t>
  </si>
  <si>
    <t>RAMADASU PREM KUMAR</t>
  </si>
  <si>
    <t>RAYAPUREDDY YASWANTH</t>
  </si>
  <si>
    <t>RAYINI KONDA KRISHNA MANOHAR</t>
  </si>
  <si>
    <t>REDDIPALLI VIVEK</t>
  </si>
  <si>
    <t>REPAKA MEGHANA</t>
  </si>
  <si>
    <t>RONGALI MANOHAR</t>
  </si>
  <si>
    <t>RONGALI VAGDEVI</t>
  </si>
  <si>
    <t>SARIPALLI SYAM SUNDHAR</t>
  </si>
  <si>
    <t>SARIKA ADHI LAKSHMI</t>
  </si>
  <si>
    <t>SARVISETTI PUJITHA</t>
  </si>
  <si>
    <t>SATTARAVU SAMUEL RAJ</t>
  </si>
  <si>
    <t>SATYAVARAPU AKSHAY</t>
  </si>
  <si>
    <t>SEERAPU MANIKANTA</t>
  </si>
  <si>
    <t>SETTI KUMAR RAJA</t>
  </si>
  <si>
    <t>SINGAMPALLI VIJAYA KUMARI</t>
  </si>
  <si>
    <t>SURADA PREM SAGAR</t>
  </si>
  <si>
    <t>SWAYAM VARAPU MADHURI</t>
  </si>
  <si>
    <t>TAMMINENI NARASINGA RAO</t>
  </si>
  <si>
    <t>TARALA PREM SAGAR</t>
  </si>
  <si>
    <t>THAMARANA VARAHALABABU</t>
  </si>
  <si>
    <t>THYADI HARSHA VARDHAN</t>
  </si>
  <si>
    <t>TIPPANA HEMANTH KUMAR</t>
  </si>
  <si>
    <t>VADDI HISHITA</t>
  </si>
  <si>
    <t>VANAPALLI ANURADHA</t>
  </si>
  <si>
    <t>VANDRASI DURGA PRASANTH</t>
  </si>
  <si>
    <t>VANKA MOHANA KRISHNA</t>
  </si>
  <si>
    <t>KANAMARLAPUDI VARSHINI PRIYA</t>
  </si>
  <si>
    <t>VASAMSETTI SOWJANYA LAKSHMI</t>
  </si>
  <si>
    <t>VEERLA CHARAN SAI</t>
  </si>
  <si>
    <t>VERRIGHUKKAPRAJNA SAIBHAVITHA</t>
  </si>
  <si>
    <t>YENUGULA ANITHA</t>
  </si>
  <si>
    <t>YERNINTI PRANEETH</t>
  </si>
  <si>
    <t>SUBJECT CODE</t>
  </si>
  <si>
    <t>F(401402,403,405)</t>
  </si>
  <si>
    <t>TOTAL PERCNTAGE</t>
  </si>
  <si>
    <t>CME1(63)</t>
  </si>
  <si>
    <t>CME2(65)</t>
  </si>
  <si>
    <t>88%,
93%</t>
  </si>
  <si>
    <t>Pin_No</t>
  </si>
  <si>
    <t>Name</t>
  </si>
  <si>
    <t>Maths_301</t>
  </si>
  <si>
    <t>DE_302</t>
  </si>
  <si>
    <t>OS_303</t>
  </si>
  <si>
    <t>DS_304</t>
  </si>
  <si>
    <t>DBMS_305</t>
  </si>
  <si>
    <t>Total</t>
  </si>
  <si>
    <t>Result</t>
  </si>
  <si>
    <t>21596-CM-001</t>
  </si>
  <si>
    <t>21596-CM-002</t>
  </si>
  <si>
    <t>21596-CM-003</t>
  </si>
  <si>
    <t>21596-CM-004</t>
  </si>
  <si>
    <t>21596-CM-005</t>
  </si>
  <si>
    <t>21596-CM-006</t>
  </si>
  <si>
    <t>21596-CM-007</t>
  </si>
  <si>
    <t>21596-CM-008</t>
  </si>
  <si>
    <t>21596-CM-009</t>
  </si>
  <si>
    <t>21596-CM-010</t>
  </si>
  <si>
    <t>21596-CM-011</t>
  </si>
  <si>
    <t>21596-CM-012</t>
  </si>
  <si>
    <t>21596-CM-013</t>
  </si>
  <si>
    <t>21596-CM-014</t>
  </si>
  <si>
    <t>21596-CM-015</t>
  </si>
  <si>
    <t>21596-CM-016</t>
  </si>
  <si>
    <t>21596-CM-017</t>
  </si>
  <si>
    <t>CHINNAM KIRANMAI</t>
  </si>
  <si>
    <t>21596-CM-018</t>
  </si>
  <si>
    <t>21596-CM-019</t>
  </si>
  <si>
    <t>21596-CM-020</t>
  </si>
  <si>
    <t>DADI ROHIT</t>
  </si>
  <si>
    <t>21596-CM-021</t>
  </si>
  <si>
    <t>21596-CM-022</t>
  </si>
  <si>
    <t>21596-CM-023</t>
  </si>
  <si>
    <t>21596-CM-024</t>
  </si>
  <si>
    <t>DHARMALA VARAHA VENKATA LAKSHMI BHARGAVI</t>
  </si>
  <si>
    <t>21596-CM-025</t>
  </si>
  <si>
    <t>DINESH JENA</t>
  </si>
  <si>
    <t>21596-CM-026</t>
  </si>
  <si>
    <t>21596-CM-027</t>
  </si>
  <si>
    <t>21596-CM-028</t>
  </si>
  <si>
    <t>21596-CM-029</t>
  </si>
  <si>
    <t>21596-CM-030</t>
  </si>
  <si>
    <t>21596-CM-031</t>
  </si>
  <si>
    <t>21596-CM-032</t>
  </si>
  <si>
    <t>21596-CM-033</t>
  </si>
  <si>
    <t>21596-CM-034</t>
  </si>
  <si>
    <t>21596-CM-035</t>
  </si>
  <si>
    <t>21596-CM-036</t>
  </si>
  <si>
    <t>21596-CM-037</t>
  </si>
  <si>
    <t>21596-CM-038</t>
  </si>
  <si>
    <t>21596-CM-039</t>
  </si>
  <si>
    <t>21596-CM-040</t>
  </si>
  <si>
    <t>21596-CM-041</t>
  </si>
  <si>
    <t>21596-CM-042</t>
  </si>
  <si>
    <t>21596-CM-043</t>
  </si>
  <si>
    <t>21596-CM-044</t>
  </si>
  <si>
    <t>21596-CM-045</t>
  </si>
  <si>
    <t>21596-CM-046</t>
  </si>
  <si>
    <t>KADIYALA TARUN SAI PRADEEP KUMAR</t>
  </si>
  <si>
    <t>21596-CM-047</t>
  </si>
  <si>
    <t>KAGITALA ROHITH  SRINIVAS REDDY</t>
  </si>
  <si>
    <t>21596-CM-048</t>
  </si>
  <si>
    <t>21596-CM-049</t>
  </si>
  <si>
    <t>KALLA MOHAN SAI</t>
  </si>
  <si>
    <t>21596-CM-050</t>
  </si>
  <si>
    <t>21596-CM-051</t>
  </si>
  <si>
    <t>21596-CM-052</t>
  </si>
  <si>
    <t>21596-CM-053</t>
  </si>
  <si>
    <t>21596-CM-054</t>
  </si>
  <si>
    <t>21596-CM-055</t>
  </si>
  <si>
    <t>21596-CM-057</t>
  </si>
  <si>
    <t>21596-CM-058</t>
  </si>
  <si>
    <t>KOLAGANI KISHORE</t>
  </si>
  <si>
    <t>21596-CM-059</t>
  </si>
  <si>
    <t>21596-CM-060</t>
  </si>
  <si>
    <t>21596-CM-061</t>
  </si>
  <si>
    <t>KONATHALA VARSHITHA</t>
  </si>
  <si>
    <t>21596-CM-062</t>
  </si>
  <si>
    <t>21596-CM-063</t>
  </si>
  <si>
    <t>21596-CM-064</t>
  </si>
  <si>
    <t>21596-CM-065</t>
  </si>
  <si>
    <t>21596-CM-066</t>
  </si>
  <si>
    <t>21596-CM-067</t>
  </si>
  <si>
    <t>AB</t>
  </si>
  <si>
    <t>21596-CM-068</t>
  </si>
  <si>
    <t>21596-CM-069</t>
  </si>
  <si>
    <t>21596-CM-070</t>
  </si>
  <si>
    <t>21596-CM-071</t>
  </si>
  <si>
    <t>MALLA SAI VENKATA PYDI  KRISHNA MURTHI</t>
  </si>
  <si>
    <t>21596-CM-072</t>
  </si>
  <si>
    <t>21596-CM-073</t>
  </si>
  <si>
    <t>21596-CM-074</t>
  </si>
  <si>
    <t>21596-CM-075</t>
  </si>
  <si>
    <t>21596-CM-076</t>
  </si>
  <si>
    <t>21596-CM-077</t>
  </si>
  <si>
    <t>21596-CM-078</t>
  </si>
  <si>
    <t>21596-CM-079</t>
  </si>
  <si>
    <t>21596-CM-080</t>
  </si>
  <si>
    <t>21596-CM-081</t>
  </si>
  <si>
    <t>21596-CM-082</t>
  </si>
  <si>
    <t>21596-CM-083</t>
  </si>
  <si>
    <t>21596-CM-084</t>
  </si>
  <si>
    <t>21596-CM-085</t>
  </si>
  <si>
    <t>21596-CM-086</t>
  </si>
  <si>
    <t>21596-CM-087</t>
  </si>
  <si>
    <t>21596-CM-088</t>
  </si>
  <si>
    <t>21596-CM-089</t>
  </si>
  <si>
    <t>21596-CM-090</t>
  </si>
  <si>
    <t>21596-CM-091</t>
  </si>
  <si>
    <t>21596-CM-092</t>
  </si>
  <si>
    <t>21596-CM-093</t>
  </si>
  <si>
    <t>21596-CM-094</t>
  </si>
  <si>
    <t>21596-CM-095</t>
  </si>
  <si>
    <t>21596-CM-096</t>
  </si>
  <si>
    <t>21596-CM-097</t>
  </si>
  <si>
    <t>21596-CM-098</t>
  </si>
  <si>
    <t>21596-CM-099</t>
  </si>
  <si>
    <t>21596-CM-100</t>
  </si>
  <si>
    <t>RAJANA PAVAN  KUMAR</t>
  </si>
  <si>
    <t>21596-CM-101</t>
  </si>
  <si>
    <t>21596-CM-102</t>
  </si>
  <si>
    <t>21596-CM-103</t>
  </si>
  <si>
    <t>21596-CM-104</t>
  </si>
  <si>
    <t>21596-CM-105</t>
  </si>
  <si>
    <t>21596-CM-106</t>
  </si>
  <si>
    <t>21596-CM-107</t>
  </si>
  <si>
    <t>21596-CM-108</t>
  </si>
  <si>
    <t>21596-CM-109</t>
  </si>
  <si>
    <t>21596-CM-110</t>
  </si>
  <si>
    <t>21596-CM-111</t>
  </si>
  <si>
    <t>21596-CM-112</t>
  </si>
  <si>
    <t>21596-CM-113</t>
  </si>
  <si>
    <t>21596-CM-114</t>
  </si>
  <si>
    <t>21596-CM-115</t>
  </si>
  <si>
    <t>21596-CM-116</t>
  </si>
  <si>
    <t>21596-CM-117</t>
  </si>
  <si>
    <t>21596-CM-118</t>
  </si>
  <si>
    <t>21596-CM-119</t>
  </si>
  <si>
    <t>21596-CM-120</t>
  </si>
  <si>
    <t>21596-CM-121</t>
  </si>
  <si>
    <t>21596-CM-122</t>
  </si>
  <si>
    <t>21596-CM-123</t>
  </si>
  <si>
    <t>21596-CM-124</t>
  </si>
  <si>
    <t>21596-CM-125</t>
  </si>
  <si>
    <t>21596-CM-126</t>
  </si>
  <si>
    <t>21596-CM-127</t>
  </si>
  <si>
    <t xml:space="preserve">KANAMARLAPUDI VARSHINI PRIYA </t>
  </si>
  <si>
    <t>21596-CM-128</t>
  </si>
  <si>
    <t>21596-CM-129</t>
  </si>
  <si>
    <t>21596-CM-130</t>
  </si>
  <si>
    <t>21596-CM-131</t>
  </si>
  <si>
    <t>21596-CM-132</t>
  </si>
  <si>
    <t>DE_306</t>
  </si>
  <si>
    <t>DS_307</t>
  </si>
  <si>
    <t>DBMS_308</t>
  </si>
  <si>
    <t>MM_309</t>
  </si>
  <si>
    <t>F(301,2,4,5)</t>
  </si>
  <si>
    <t>F(302)</t>
  </si>
  <si>
    <t>F(305)</t>
  </si>
  <si>
    <t>F(301,2,3,4,5)</t>
  </si>
  <si>
    <t>F(301,2)</t>
  </si>
  <si>
    <t>F(302,5)</t>
  </si>
  <si>
    <t>F(1,2,5)</t>
  </si>
  <si>
    <t>F(301)</t>
  </si>
  <si>
    <t>P(305)</t>
  </si>
  <si>
    <t>F(304,5)</t>
  </si>
  <si>
    <t>F(304)</t>
  </si>
  <si>
    <t>F(301,4,5)</t>
  </si>
  <si>
    <t>F(301,2,5)</t>
  </si>
  <si>
    <t>F(301,302)</t>
  </si>
  <si>
    <t>F(303,305)</t>
  </si>
  <si>
    <t>F(303)</t>
  </si>
  <si>
    <t>F(301,303)</t>
  </si>
  <si>
    <t>PIN NO</t>
  </si>
  <si>
    <t>NAME OF THE STUDENT</t>
  </si>
  <si>
    <t>RESULT</t>
  </si>
  <si>
    <t>REMARKS</t>
  </si>
  <si>
    <t>TOTAL</t>
  </si>
  <si>
    <t>PERCENTAGE</t>
  </si>
  <si>
    <t xml:space="preserve"> supply clears</t>
  </si>
  <si>
    <t>67 ,19</t>
  </si>
  <si>
    <t>28,14</t>
  </si>
  <si>
    <t>18,10</t>
  </si>
  <si>
    <t>44,15</t>
  </si>
  <si>
    <t>45,15</t>
  </si>
  <si>
    <t>15,12</t>
  </si>
  <si>
    <t>53,39</t>
  </si>
  <si>
    <t>59,39</t>
  </si>
  <si>
    <t>28,18</t>
  </si>
  <si>
    <t>29,19</t>
  </si>
  <si>
    <t>FAIL</t>
  </si>
  <si>
    <t>61,19</t>
  </si>
  <si>
    <t>45,18</t>
  </si>
  <si>
    <t>32,13</t>
  </si>
  <si>
    <t>45,17</t>
  </si>
  <si>
    <t>39,14</t>
  </si>
  <si>
    <t>29,12</t>
  </si>
  <si>
    <t>51,39</t>
  </si>
  <si>
    <t>29,20</t>
  </si>
  <si>
    <t>40,16</t>
  </si>
  <si>
    <t>1,7</t>
  </si>
  <si>
    <t>0,10</t>
  </si>
  <si>
    <t>2,8</t>
  </si>
  <si>
    <t>10,8</t>
  </si>
  <si>
    <t>1,9</t>
  </si>
  <si>
    <t>5,35</t>
  </si>
  <si>
    <t>57,35</t>
  </si>
  <si>
    <t>27,16</t>
  </si>
  <si>
    <t>58,35</t>
  </si>
  <si>
    <t>51,19</t>
  </si>
  <si>
    <t>31,12</t>
  </si>
  <si>
    <t>45,12</t>
  </si>
  <si>
    <t>61,16</t>
  </si>
  <si>
    <t>63,15</t>
  </si>
  <si>
    <t>62,17</t>
  </si>
  <si>
    <t>45,34</t>
  </si>
  <si>
    <t>57,36</t>
  </si>
  <si>
    <t>30,20</t>
  </si>
  <si>
    <t>58,36</t>
  </si>
  <si>
    <t>63,20</t>
  </si>
  <si>
    <t>54,15</t>
  </si>
  <si>
    <t>11,13</t>
  </si>
  <si>
    <t>46,18</t>
  </si>
  <si>
    <t>74,14</t>
  </si>
  <si>
    <t>43,15</t>
  </si>
  <si>
    <t>56,39</t>
  </si>
  <si>
    <t>58,39</t>
  </si>
  <si>
    <t>71,20</t>
  </si>
  <si>
    <t>42,16</t>
  </si>
  <si>
    <t>36,16</t>
  </si>
  <si>
    <t>54,19</t>
  </si>
  <si>
    <t>67,16</t>
  </si>
  <si>
    <t>42,14</t>
  </si>
  <si>
    <t>62,20</t>
  </si>
  <si>
    <t>76,20</t>
  </si>
  <si>
    <t>69,20</t>
  </si>
  <si>
    <t>73,19</t>
  </si>
  <si>
    <t>74,20</t>
  </si>
  <si>
    <t>60,40</t>
  </si>
  <si>
    <t>64,20</t>
  </si>
  <si>
    <t>39,19</t>
  </si>
  <si>
    <t>69,10</t>
  </si>
  <si>
    <t>43,12</t>
  </si>
  <si>
    <t>45,14</t>
  </si>
  <si>
    <t>14,9</t>
  </si>
  <si>
    <t>3,9</t>
  </si>
  <si>
    <t>19,7</t>
  </si>
  <si>
    <t>39,7</t>
  </si>
  <si>
    <t>6,8</t>
  </si>
  <si>
    <t>30,34</t>
  </si>
  <si>
    <t>55,34</t>
  </si>
  <si>
    <t>28,17</t>
  </si>
  <si>
    <t>57,34</t>
  </si>
  <si>
    <t>49,20</t>
  </si>
  <si>
    <t>73,13</t>
  </si>
  <si>
    <t>30,18</t>
  </si>
  <si>
    <t>56,18</t>
  </si>
  <si>
    <t>42,13</t>
  </si>
  <si>
    <t>57,37</t>
  </si>
  <si>
    <t>60,39</t>
  </si>
  <si>
    <t>60,20</t>
  </si>
  <si>
    <t>59,18</t>
  </si>
  <si>
    <t>34,16</t>
  </si>
  <si>
    <t>32,17</t>
  </si>
  <si>
    <t>58,17</t>
  </si>
  <si>
    <t>57,11</t>
  </si>
  <si>
    <t>59,40</t>
  </si>
  <si>
    <t>27,17</t>
  </si>
  <si>
    <t>30,19</t>
  </si>
  <si>
    <t>56,20</t>
  </si>
  <si>
    <t>40,15</t>
  </si>
  <si>
    <t>55,14</t>
  </si>
  <si>
    <t>59,17</t>
  </si>
  <si>
    <t>57,14</t>
  </si>
  <si>
    <t>30,13</t>
  </si>
  <si>
    <t>54,20</t>
  </si>
  <si>
    <t>76,19</t>
  </si>
  <si>
    <t>52,18</t>
  </si>
  <si>
    <t>69,16</t>
  </si>
  <si>
    <t>64,16</t>
  </si>
  <si>
    <t>46,16</t>
  </si>
  <si>
    <t>48,15</t>
  </si>
  <si>
    <t>32,19</t>
  </si>
  <si>
    <t>65,15</t>
  </si>
  <si>
    <t>35,10</t>
  </si>
  <si>
    <t>51,20</t>
  </si>
  <si>
    <t>29,15</t>
  </si>
  <si>
    <t>11,7</t>
  </si>
  <si>
    <t>18,14</t>
  </si>
  <si>
    <t>51,9</t>
  </si>
  <si>
    <t>5,8</t>
  </si>
  <si>
    <t>59,38</t>
  </si>
  <si>
    <t>29,18</t>
  </si>
  <si>
    <t>58,38</t>
  </si>
  <si>
    <t>41,15</t>
  </si>
  <si>
    <t>28,11</t>
  </si>
  <si>
    <t>33,18</t>
  </si>
  <si>
    <t>46,12</t>
  </si>
  <si>
    <t>37,8</t>
  </si>
  <si>
    <t>28,19</t>
  </si>
  <si>
    <t>59,19</t>
  </si>
  <si>
    <t>42,17</t>
  </si>
  <si>
    <t>35,12</t>
  </si>
  <si>
    <t>47,13</t>
  </si>
  <si>
    <t>29,7</t>
  </si>
  <si>
    <t>28,9</t>
  </si>
  <si>
    <t>9,12</t>
  </si>
  <si>
    <t>10,7</t>
  </si>
  <si>
    <t>4,7</t>
  </si>
  <si>
    <t>57,38</t>
  </si>
  <si>
    <t>104,105,106  (3)</t>
  </si>
  <si>
    <t>52,20</t>
  </si>
  <si>
    <t>14,7</t>
  </si>
  <si>
    <t>28,7</t>
  </si>
  <si>
    <t>33,13</t>
  </si>
  <si>
    <t>55,12</t>
  </si>
  <si>
    <t>36,11</t>
  </si>
  <si>
    <t>46,37</t>
  </si>
  <si>
    <t>60,38</t>
  </si>
  <si>
    <t>68,17</t>
  </si>
  <si>
    <t>51,15</t>
  </si>
  <si>
    <t>44,18</t>
  </si>
  <si>
    <t>61,13</t>
  </si>
  <si>
    <t>49,12</t>
  </si>
  <si>
    <t>59,34</t>
  </si>
  <si>
    <t>59,37</t>
  </si>
  <si>
    <t>68,20</t>
  </si>
  <si>
    <t>51,17</t>
  </si>
  <si>
    <t>56,16</t>
  </si>
  <si>
    <t>61,20</t>
  </si>
  <si>
    <t>70,15</t>
  </si>
  <si>
    <t>70,16</t>
  </si>
  <si>
    <t>45,37</t>
  </si>
  <si>
    <t>47,19</t>
  </si>
  <si>
    <t>65,19</t>
  </si>
  <si>
    <t>75,19</t>
  </si>
  <si>
    <t>67,18</t>
  </si>
  <si>
    <t>52,40</t>
  </si>
  <si>
    <t>48,20</t>
  </si>
  <si>
    <t>53,13</t>
  </si>
  <si>
    <t>38,11</t>
  </si>
  <si>
    <t>44,19</t>
  </si>
  <si>
    <t>55,15</t>
  </si>
  <si>
    <t>42,15</t>
  </si>
  <si>
    <t>48,9</t>
  </si>
  <si>
    <t>55,16</t>
  </si>
  <si>
    <t>38,19</t>
  </si>
  <si>
    <t>59,16</t>
  </si>
  <si>
    <t>55,39</t>
  </si>
  <si>
    <t>17,9</t>
  </si>
  <si>
    <t>7,7</t>
  </si>
  <si>
    <t>18,8</t>
  </si>
  <si>
    <t>51,7</t>
  </si>
  <si>
    <t>34,34</t>
  </si>
  <si>
    <t>AB,36</t>
  </si>
  <si>
    <t>AB,16</t>
  </si>
  <si>
    <t>AB,17</t>
  </si>
  <si>
    <t>46,19</t>
  </si>
  <si>
    <t>16,10</t>
  </si>
  <si>
    <t>28,10</t>
  </si>
  <si>
    <t>29,14</t>
  </si>
  <si>
    <t>14,10</t>
  </si>
  <si>
    <t>50,34</t>
  </si>
  <si>
    <t>58,37</t>
  </si>
  <si>
    <t>102,106   (2)</t>
  </si>
  <si>
    <t>36,19</t>
  </si>
  <si>
    <t>18,13</t>
  </si>
  <si>
    <t>31,7</t>
  </si>
  <si>
    <t>9,10</t>
  </si>
  <si>
    <t>35,8</t>
  </si>
  <si>
    <t>56,19</t>
  </si>
  <si>
    <t>46,9</t>
  </si>
  <si>
    <t>48,11</t>
  </si>
  <si>
    <t>55,9</t>
  </si>
  <si>
    <t>AB,38</t>
  </si>
  <si>
    <t>66,20</t>
  </si>
  <si>
    <t>39,15</t>
  </si>
  <si>
    <t>28,12</t>
  </si>
  <si>
    <t>50,17</t>
  </si>
  <si>
    <t>70,18</t>
  </si>
  <si>
    <t>39,17</t>
  </si>
  <si>
    <t>54,18</t>
  </si>
  <si>
    <t>17,10</t>
  </si>
  <si>
    <t>6,7</t>
  </si>
  <si>
    <t>46,7</t>
  </si>
  <si>
    <t>36,34</t>
  </si>
  <si>
    <t>102,103   (2)</t>
  </si>
  <si>
    <t>63,19</t>
  </si>
  <si>
    <t>22,7</t>
  </si>
  <si>
    <t>46,11</t>
  </si>
  <si>
    <t>45,10</t>
  </si>
  <si>
    <t>28,8</t>
  </si>
  <si>
    <t>102,103,109  (3)</t>
  </si>
  <si>
    <t>29,10</t>
  </si>
  <si>
    <t>19,9</t>
  </si>
  <si>
    <t>21,10</t>
  </si>
  <si>
    <t>64,14</t>
  </si>
  <si>
    <t>17,15</t>
  </si>
  <si>
    <t>103,104,106  (3)</t>
  </si>
  <si>
    <t>2,7</t>
  </si>
  <si>
    <t>0,7</t>
  </si>
  <si>
    <t>0,9</t>
  </si>
  <si>
    <t>0,8</t>
  </si>
  <si>
    <t>40,34</t>
  </si>
  <si>
    <t>56,35</t>
  </si>
  <si>
    <t>57,19</t>
  </si>
  <si>
    <t>49,18</t>
  </si>
  <si>
    <t>62,13</t>
  </si>
  <si>
    <t>46,15</t>
  </si>
  <si>
    <t>37,12</t>
  </si>
  <si>
    <t>37,15</t>
  </si>
  <si>
    <t>13,13</t>
  </si>
  <si>
    <t>106(1)</t>
  </si>
  <si>
    <t>58,20</t>
  </si>
  <si>
    <t>29,11</t>
  </si>
  <si>
    <t>33,14</t>
  </si>
  <si>
    <t>46,20</t>
  </si>
  <si>
    <t>8,8</t>
  </si>
  <si>
    <t>10,12</t>
  </si>
  <si>
    <t>44,10</t>
  </si>
  <si>
    <t>7,13</t>
  </si>
  <si>
    <t>72,19</t>
  </si>
  <si>
    <t>66,19</t>
  </si>
  <si>
    <t>55,17</t>
  </si>
  <si>
    <t>71,19</t>
  </si>
  <si>
    <t>67,14</t>
  </si>
  <si>
    <t>60,16</t>
  </si>
  <si>
    <t>38,14</t>
  </si>
  <si>
    <t>48,18</t>
  </si>
  <si>
    <t>58,12</t>
  </si>
  <si>
    <t>60,34</t>
  </si>
  <si>
    <t>AB,35</t>
  </si>
  <si>
    <t>108,111  (2)</t>
  </si>
  <si>
    <t>50,20</t>
  </si>
  <si>
    <t>28,15</t>
  </si>
  <si>
    <t>35,17</t>
  </si>
  <si>
    <t>52,14</t>
  </si>
  <si>
    <t>37,16</t>
  </si>
  <si>
    <t>42,18</t>
  </si>
  <si>
    <t>15,14</t>
  </si>
  <si>
    <t>62,14</t>
  </si>
  <si>
    <t>31,14</t>
  </si>
  <si>
    <t>58,40</t>
  </si>
  <si>
    <t>28,20</t>
  </si>
  <si>
    <t>103  (1)</t>
  </si>
  <si>
    <t>32,15</t>
  </si>
  <si>
    <t>49,19</t>
  </si>
  <si>
    <t>68,19</t>
  </si>
  <si>
    <t>59,15</t>
  </si>
  <si>
    <t>44,40</t>
  </si>
  <si>
    <t>AB,40</t>
  </si>
  <si>
    <t>108  (1)</t>
  </si>
  <si>
    <t>40,18</t>
  </si>
  <si>
    <t>43,20</t>
  </si>
  <si>
    <t>51,14</t>
  </si>
  <si>
    <t>47,15</t>
  </si>
  <si>
    <t>54,40</t>
  </si>
  <si>
    <t>28,16</t>
  </si>
  <si>
    <t>64,15</t>
  </si>
  <si>
    <t>52,39</t>
  </si>
  <si>
    <t>31,9</t>
  </si>
  <si>
    <t>38,18</t>
  </si>
  <si>
    <t>35,9</t>
  </si>
  <si>
    <t>30,14</t>
  </si>
  <si>
    <t>54,39</t>
  </si>
  <si>
    <t>45,19</t>
  </si>
  <si>
    <t>30,7</t>
  </si>
  <si>
    <t>16,8</t>
  </si>
  <si>
    <t>47,10</t>
  </si>
  <si>
    <t>51,40</t>
  </si>
  <si>
    <t>103,106  (2)</t>
  </si>
  <si>
    <t>33,16</t>
  </si>
  <si>
    <t>54,9</t>
  </si>
  <si>
    <t>39,34</t>
  </si>
  <si>
    <t>27,18</t>
  </si>
  <si>
    <t>102,103,106   (3)</t>
  </si>
  <si>
    <t>41,19</t>
  </si>
  <si>
    <t>1,8</t>
  </si>
  <si>
    <t>7,11</t>
  </si>
  <si>
    <t>42,7</t>
  </si>
  <si>
    <t>3,7</t>
  </si>
  <si>
    <t>49,34</t>
  </si>
  <si>
    <t>AB,37</t>
  </si>
  <si>
    <t>102,103,104,106,111   (5)</t>
  </si>
  <si>
    <t>55,20</t>
  </si>
  <si>
    <t>66,18</t>
  </si>
  <si>
    <t>69,18</t>
  </si>
  <si>
    <t>49,40</t>
  </si>
  <si>
    <t>19,14</t>
  </si>
  <si>
    <t>55,11</t>
  </si>
  <si>
    <t>50,8</t>
  </si>
  <si>
    <t>52,37</t>
  </si>
  <si>
    <t>104  (1)</t>
  </si>
  <si>
    <t>39,18</t>
  </si>
  <si>
    <t>73,20</t>
  </si>
  <si>
    <t>74,18</t>
  </si>
  <si>
    <t>53,20</t>
  </si>
  <si>
    <t>42,19</t>
  </si>
  <si>
    <t>74,17</t>
  </si>
  <si>
    <t>53,40</t>
  </si>
  <si>
    <t>50,18</t>
  </si>
  <si>
    <t>16,15</t>
  </si>
  <si>
    <t>50,16</t>
  </si>
  <si>
    <t>41,10</t>
  </si>
  <si>
    <t>7,9</t>
  </si>
  <si>
    <t>34,39</t>
  </si>
  <si>
    <t>103,106   (2)</t>
  </si>
  <si>
    <t>43,19</t>
  </si>
  <si>
    <t>23,14</t>
  </si>
  <si>
    <t>39,11</t>
  </si>
  <si>
    <t>56,34</t>
  </si>
  <si>
    <t>103   (1)</t>
  </si>
  <si>
    <t>57,15</t>
  </si>
  <si>
    <t>52,19</t>
  </si>
  <si>
    <t>61,18</t>
  </si>
  <si>
    <t>44,16</t>
  </si>
  <si>
    <t>21596-CM-056</t>
  </si>
  <si>
    <t>67,20</t>
  </si>
  <si>
    <t>79,20</t>
  </si>
  <si>
    <t>60,19</t>
  </si>
  <si>
    <t>62,19</t>
  </si>
  <si>
    <t>49,17</t>
  </si>
  <si>
    <t>55,40</t>
  </si>
  <si>
    <t>20,12</t>
  </si>
  <si>
    <t>19,15</t>
  </si>
  <si>
    <t>35,14</t>
  </si>
  <si>
    <t>49,39</t>
  </si>
  <si>
    <t>103,104   (2)</t>
  </si>
  <si>
    <t>46,14</t>
  </si>
  <si>
    <t>45,13</t>
  </si>
  <si>
    <t>3,16</t>
  </si>
  <si>
    <t>41,12</t>
  </si>
  <si>
    <t>55,18</t>
  </si>
  <si>
    <t>55,19</t>
  </si>
  <si>
    <t>62,16</t>
  </si>
  <si>
    <t>47,11</t>
  </si>
  <si>
    <t>37,34</t>
  </si>
  <si>
    <t>29,17</t>
  </si>
  <si>
    <t>102,103,104,106    (4)</t>
  </si>
  <si>
    <t>10,9</t>
  </si>
  <si>
    <t>31,10</t>
  </si>
  <si>
    <t>11,8</t>
  </si>
  <si>
    <t>38,20</t>
  </si>
  <si>
    <t>28,13</t>
  </si>
  <si>
    <t>12,9</t>
  </si>
  <si>
    <t>36,14</t>
  </si>
  <si>
    <t>4,11</t>
  </si>
  <si>
    <t>65,20</t>
  </si>
  <si>
    <t>58,18</t>
  </si>
  <si>
    <t>70,19</t>
  </si>
  <si>
    <t>58,19</t>
  </si>
  <si>
    <t>56,40</t>
  </si>
  <si>
    <t>16,7</t>
  </si>
  <si>
    <t>8,7</t>
  </si>
  <si>
    <t>4,8</t>
  </si>
  <si>
    <t>10,34</t>
  </si>
  <si>
    <t>53,17</t>
  </si>
  <si>
    <t>35,16</t>
  </si>
  <si>
    <t>30,17</t>
  </si>
  <si>
    <t>80,20</t>
  </si>
  <si>
    <t>77,20</t>
  </si>
  <si>
    <t>77,18</t>
  </si>
  <si>
    <t>11,17</t>
  </si>
  <si>
    <t>41,14</t>
  </si>
  <si>
    <t>64,19</t>
  </si>
  <si>
    <t>48,17</t>
  </si>
  <si>
    <t>20,20</t>
  </si>
  <si>
    <t>65,18</t>
  </si>
  <si>
    <t>57,40</t>
  </si>
  <si>
    <t>103    (1)</t>
  </si>
  <si>
    <t>75,20</t>
  </si>
  <si>
    <t>60,8</t>
  </si>
  <si>
    <t>44,35</t>
  </si>
  <si>
    <t>56,36</t>
  </si>
  <si>
    <t>72,18</t>
  </si>
  <si>
    <t>61,17</t>
  </si>
  <si>
    <t>67,19</t>
  </si>
  <si>
    <t>31,18</t>
  </si>
  <si>
    <t>50,15</t>
  </si>
  <si>
    <t>32,12</t>
  </si>
  <si>
    <t>41,13</t>
  </si>
  <si>
    <t>40,8</t>
  </si>
  <si>
    <t>14,11</t>
  </si>
  <si>
    <t>26,16</t>
  </si>
  <si>
    <t>1,12</t>
  </si>
  <si>
    <t>35,34</t>
  </si>
  <si>
    <t>67,17</t>
  </si>
  <si>
    <t>68,16</t>
  </si>
  <si>
    <t>47,18</t>
  </si>
  <si>
    <t>31,8</t>
  </si>
  <si>
    <t>41,11</t>
  </si>
  <si>
    <t>37,36</t>
  </si>
  <si>
    <t>102,103  (2)</t>
  </si>
  <si>
    <t>37,18</t>
  </si>
  <si>
    <t>58,11</t>
  </si>
  <si>
    <t>38,17</t>
  </si>
  <si>
    <t>57,20</t>
  </si>
  <si>
    <t>53,15</t>
  </si>
  <si>
    <t>42,34</t>
  </si>
  <si>
    <t>2,14</t>
  </si>
  <si>
    <t>39,9</t>
  </si>
  <si>
    <t>30,38</t>
  </si>
  <si>
    <t>15,8</t>
  </si>
  <si>
    <t>39,10</t>
  </si>
  <si>
    <t>51,34</t>
  </si>
  <si>
    <t>17,19</t>
  </si>
  <si>
    <t>67,11</t>
  </si>
  <si>
    <t>34,12</t>
  </si>
  <si>
    <t>47,40</t>
  </si>
  <si>
    <t xml:space="preserve">60,40 </t>
  </si>
  <si>
    <t>73,15</t>
  </si>
  <si>
    <t>47,16</t>
  </si>
  <si>
    <t>15,11</t>
  </si>
  <si>
    <t>50,10</t>
  </si>
  <si>
    <t>102,103,106    (3)</t>
  </si>
  <si>
    <t>39,16</t>
  </si>
  <si>
    <t>57,16</t>
  </si>
  <si>
    <t>80,12</t>
  </si>
  <si>
    <t>13,8</t>
  </si>
  <si>
    <t>103,106,111    (3)</t>
  </si>
  <si>
    <t>18,15</t>
  </si>
  <si>
    <t>12,13</t>
  </si>
  <si>
    <t>42,36</t>
  </si>
  <si>
    <t>47,17</t>
  </si>
  <si>
    <t>78,20</t>
  </si>
  <si>
    <t>80,19</t>
  </si>
  <si>
    <t>73,18</t>
  </si>
  <si>
    <t>79,19</t>
  </si>
  <si>
    <t>53,7</t>
  </si>
  <si>
    <t>43,10</t>
  </si>
  <si>
    <t>30,16</t>
  </si>
  <si>
    <t>42,9</t>
  </si>
  <si>
    <t>44,34</t>
  </si>
  <si>
    <t>AB,18</t>
  </si>
  <si>
    <t>59,35</t>
  </si>
  <si>
    <t>106,110,109   (3)</t>
  </si>
  <si>
    <t>43,13</t>
  </si>
  <si>
    <t>16,14</t>
  </si>
  <si>
    <t>41,16</t>
  </si>
  <si>
    <t>42,12</t>
  </si>
  <si>
    <t>33,11</t>
  </si>
  <si>
    <t>35,11</t>
  </si>
  <si>
    <t>46,17</t>
  </si>
  <si>
    <t>73,16</t>
  </si>
  <si>
    <t>70,17</t>
  </si>
  <si>
    <t>56,10</t>
  </si>
  <si>
    <t>73,12</t>
  </si>
  <si>
    <t>47,14</t>
  </si>
  <si>
    <t>49,10</t>
  </si>
  <si>
    <t>40,11</t>
  </si>
  <si>
    <t>49,36</t>
  </si>
  <si>
    <t>13,15</t>
  </si>
  <si>
    <t>9,15</t>
  </si>
  <si>
    <t>11,14</t>
  </si>
  <si>
    <t>33,7</t>
  </si>
  <si>
    <t>59,36</t>
  </si>
  <si>
    <t>102,103,104     (3)</t>
  </si>
  <si>
    <t>68,18</t>
  </si>
  <si>
    <t>80,17</t>
  </si>
  <si>
    <t>50,19</t>
  </si>
  <si>
    <t>53,12</t>
  </si>
  <si>
    <t>76,18</t>
  </si>
  <si>
    <t>62,18</t>
  </si>
  <si>
    <t>69,17</t>
  </si>
  <si>
    <t>18,17</t>
  </si>
  <si>
    <t>56,14</t>
  </si>
  <si>
    <t>14,16</t>
  </si>
  <si>
    <t>60,17</t>
  </si>
  <si>
    <t>27,19</t>
  </si>
  <si>
    <t xml:space="preserve">103    (1) </t>
  </si>
  <si>
    <t>50,9</t>
  </si>
  <si>
    <t>69,15</t>
  </si>
  <si>
    <t>52,16</t>
  </si>
  <si>
    <t>52,38</t>
  </si>
  <si>
    <t>64,18</t>
  </si>
  <si>
    <t>57,17</t>
  </si>
  <si>
    <t>21,12</t>
  </si>
  <si>
    <t>60,36</t>
  </si>
  <si>
    <t>18,12</t>
  </si>
  <si>
    <t>56,17</t>
  </si>
  <si>
    <t>49,13</t>
  </si>
  <si>
    <t>102    (1)</t>
  </si>
  <si>
    <t>57,18</t>
  </si>
  <si>
    <t>71,17</t>
  </si>
  <si>
    <t>7,8</t>
  </si>
  <si>
    <t>49,14</t>
  </si>
  <si>
    <t>5,10</t>
  </si>
  <si>
    <t>102,103,104,106   (4)</t>
  </si>
  <si>
    <t>13,11</t>
  </si>
  <si>
    <t>38,7</t>
  </si>
  <si>
    <t>5,7</t>
  </si>
  <si>
    <t>56,37</t>
  </si>
  <si>
    <t>53,19</t>
  </si>
  <si>
    <t>48,19</t>
  </si>
  <si>
    <t>71,18</t>
  </si>
  <si>
    <t>69,19</t>
  </si>
  <si>
    <t>54,37</t>
  </si>
  <si>
    <t>6,15</t>
  </si>
  <si>
    <t>29,16</t>
  </si>
  <si>
    <t>57,12</t>
  </si>
  <si>
    <t>41,9</t>
  </si>
  <si>
    <t>59,20</t>
  </si>
  <si>
    <t>65,17</t>
  </si>
  <si>
    <t>77,16</t>
  </si>
  <si>
    <t>4,13</t>
  </si>
  <si>
    <t>16,13</t>
  </si>
  <si>
    <t>12,15</t>
  </si>
  <si>
    <t>33,35</t>
  </si>
  <si>
    <t>20,13</t>
  </si>
  <si>
    <t>45,9</t>
  </si>
  <si>
    <t>46,39</t>
  </si>
  <si>
    <t>35,18</t>
  </si>
  <si>
    <t>36,18</t>
  </si>
  <si>
    <t>43,17</t>
  </si>
  <si>
    <t>35,15</t>
  </si>
  <si>
    <t>29,13</t>
  </si>
  <si>
    <t>40,19</t>
  </si>
  <si>
    <t>30,9</t>
  </si>
  <si>
    <t>7,12</t>
  </si>
  <si>
    <t>37,37</t>
  </si>
  <si>
    <t>41,17</t>
  </si>
  <si>
    <t>52,12</t>
  </si>
  <si>
    <t>50,40</t>
  </si>
  <si>
    <t>34,15</t>
  </si>
  <si>
    <t>37,10</t>
  </si>
  <si>
    <t>59,12</t>
  </si>
  <si>
    <t>68,9</t>
  </si>
  <si>
    <t>36,35</t>
  </si>
  <si>
    <t>32,16</t>
  </si>
  <si>
    <t>9,11</t>
  </si>
  <si>
    <t>43,11</t>
  </si>
  <si>
    <t>48,37</t>
  </si>
  <si>
    <t>38,13</t>
  </si>
  <si>
    <t>53,10</t>
  </si>
  <si>
    <t>54,16</t>
  </si>
  <si>
    <t>50,37</t>
  </si>
  <si>
    <t>42,37</t>
  </si>
  <si>
    <t>40,20</t>
  </si>
  <si>
    <t>31,15</t>
  </si>
  <si>
    <t>52,15</t>
  </si>
  <si>
    <t>52,11</t>
  </si>
  <si>
    <t>37,11</t>
  </si>
  <si>
    <t>39,37</t>
  </si>
  <si>
    <t>101- 01</t>
  </si>
  <si>
    <t xml:space="preserve">102-24 </t>
  </si>
  <si>
    <t>103-49</t>
  </si>
  <si>
    <t>104-16</t>
  </si>
  <si>
    <t>105-06</t>
  </si>
  <si>
    <t>106-27</t>
  </si>
  <si>
    <t>107-02</t>
  </si>
  <si>
    <t>108-05</t>
  </si>
  <si>
    <t>109-04</t>
  </si>
  <si>
    <t>110-03</t>
  </si>
  <si>
    <t>111-05</t>
  </si>
  <si>
    <t>NUM OF FAIL(TOTAL)</t>
  </si>
  <si>
    <t>CME 1ST YEAR RESULTS(2021-2023)</t>
  </si>
  <si>
    <t>102,103,104,
106,107 (5)</t>
  </si>
  <si>
    <t>102,104,106  (3)</t>
  </si>
  <si>
    <t>102104(2)</t>
  </si>
  <si>
    <t>102 TO 106(5)</t>
  </si>
  <si>
    <t>102 TO 107(6)</t>
  </si>
  <si>
    <t xml:space="preserve">                                           </t>
  </si>
  <si>
    <t xml:space="preserve"> </t>
  </si>
  <si>
    <t>percentaga</t>
  </si>
  <si>
    <t>21596-CM-OO68</t>
  </si>
  <si>
    <t>CNE 3RD SEM RESULTS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</si>
</sst>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24552"/>
      <name val="Verdana"/>
      <family val="2"/>
    </font>
    <font>
      <sz val="11"/>
      <color rgb="FFFF0000"/>
      <name val="Calibri"/>
      <family val="2"/>
      <scheme val="minor"/>
    </font>
    <font>
      <b/>
      <sz val="9"/>
      <color rgb="FF3B3B3B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C5E4"/>
      </left>
      <right style="medium">
        <color rgb="FFA5C5E4"/>
      </right>
      <top style="medium">
        <color rgb="FFA5C5E4"/>
      </top>
      <bottom style="medium">
        <color rgb="FFA5C5E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/>
    </xf>
    <xf numFmtId="0" fontId="6" fillId="4" borderId="1" xfId="0" applyFont="1" applyFill="1" applyBorder="1" applyAlignment="1">
      <alignment horizontal="center" vertical="top"/>
    </xf>
    <xf numFmtId="0" fontId="3" fillId="4" borderId="0" xfId="0" applyFont="1" applyFill="1"/>
    <xf numFmtId="0" fontId="0" fillId="5" borderId="0" xfId="0" applyFill="1" applyAlignment="1">
      <alignment horizontal="left"/>
    </xf>
    <xf numFmtId="3" fontId="0" fillId="6" borderId="0" xfId="0" applyNumberFormat="1" applyFill="1" applyAlignment="1">
      <alignment horizontal="left" wrapText="1"/>
    </xf>
    <xf numFmtId="3" fontId="0" fillId="6" borderId="0" xfId="0" applyNumberFormat="1" applyFill="1" applyAlignment="1">
      <alignment horizontal="left"/>
    </xf>
    <xf numFmtId="3" fontId="0" fillId="0" borderId="0" xfId="0" applyNumberFormat="1" applyAlignment="1">
      <alignment wrapText="1"/>
    </xf>
    <xf numFmtId="3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1" applyNumberFormat="1" applyFont="1"/>
    <xf numFmtId="0" fontId="0" fillId="0" borderId="0" xfId="1" applyNumberFormat="1" applyFont="1"/>
    <xf numFmtId="0" fontId="3" fillId="0" borderId="0" xfId="1" applyNumberFormat="1" applyFont="1"/>
    <xf numFmtId="3" fontId="0" fillId="0" borderId="0" xfId="0" applyNumberFormat="1"/>
    <xf numFmtId="0" fontId="8" fillId="2" borderId="0" xfId="0" applyFont="1" applyFill="1"/>
    <xf numFmtId="3" fontId="0" fillId="4" borderId="0" xfId="0" applyNumberFormat="1" applyFill="1" applyAlignment="1">
      <alignment horizontal="left"/>
    </xf>
    <xf numFmtId="3" fontId="0" fillId="6" borderId="0" xfId="0" applyNumberFormat="1" applyFill="1" applyAlignment="1">
      <alignment horizontal="center" vertical="center" wrapText="1"/>
    </xf>
    <xf numFmtId="3" fontId="0" fillId="2" borderId="0" xfId="0" applyNumberFormat="1" applyFill="1" applyAlignment="1">
      <alignment horizontal="left"/>
    </xf>
    <xf numFmtId="3" fontId="0" fillId="7" borderId="0" xfId="0" applyNumberFormat="1" applyFill="1" applyAlignment="1">
      <alignment horizontal="left"/>
    </xf>
    <xf numFmtId="0" fontId="0" fillId="7" borderId="0" xfId="0" applyFill="1" applyAlignment="1">
      <alignment horizontal="left"/>
    </xf>
    <xf numFmtId="3" fontId="8" fillId="2" borderId="0" xfId="0" applyNumberFormat="1" applyFont="1" applyFill="1" applyAlignment="1">
      <alignment horizontal="left"/>
    </xf>
    <xf numFmtId="3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9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opLeftCell="A112" workbookViewId="0">
      <selection activeCell="A102" sqref="A102:XFD102"/>
    </sheetView>
  </sheetViews>
  <sheetFormatPr defaultRowHeight="15"/>
  <cols>
    <col min="1" max="1" width="14.5703125" customWidth="1"/>
    <col min="2" max="2" width="24" customWidth="1"/>
    <col min="15" max="15" width="17.28515625" customWidth="1"/>
    <col min="17" max="17" width="9.140625" style="42"/>
    <col min="18" max="18" width="15" customWidth="1"/>
  </cols>
  <sheetData>
    <row r="1" spans="1:18">
      <c r="A1" s="56" t="s">
        <v>1042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s="2" customFormat="1" ht="15.75" thickBot="1">
      <c r="A2" s="2" t="s">
        <v>460</v>
      </c>
      <c r="B2" s="2" t="s">
        <v>461</v>
      </c>
      <c r="C2" s="2">
        <v>101</v>
      </c>
      <c r="D2" s="2">
        <v>102</v>
      </c>
      <c r="E2" s="2">
        <v>103</v>
      </c>
      <c r="F2" s="2">
        <v>104</v>
      </c>
      <c r="G2" s="2">
        <v>105</v>
      </c>
      <c r="H2" s="2">
        <v>106</v>
      </c>
      <c r="I2" s="2">
        <v>107</v>
      </c>
      <c r="J2" s="2">
        <v>108</v>
      </c>
      <c r="K2" s="2">
        <v>109</v>
      </c>
      <c r="L2" s="2">
        <v>110</v>
      </c>
      <c r="M2" s="2">
        <v>111</v>
      </c>
      <c r="N2" s="2" t="s">
        <v>462</v>
      </c>
      <c r="O2" s="38" t="s">
        <v>463</v>
      </c>
      <c r="P2" s="38" t="s">
        <v>464</v>
      </c>
      <c r="Q2" s="41" t="s">
        <v>465</v>
      </c>
      <c r="R2" s="2" t="s">
        <v>466</v>
      </c>
    </row>
    <row r="3" spans="1:18" ht="15.75" thickBot="1">
      <c r="A3" s="4" t="s">
        <v>295</v>
      </c>
      <c r="B3" s="3" t="s">
        <v>149</v>
      </c>
      <c r="C3" t="s">
        <v>467</v>
      </c>
      <c r="D3" s="4" t="s">
        <v>468</v>
      </c>
      <c r="E3" t="s">
        <v>469</v>
      </c>
      <c r="F3" t="s">
        <v>470</v>
      </c>
      <c r="G3" t="s">
        <v>471</v>
      </c>
      <c r="H3" t="s">
        <v>472</v>
      </c>
      <c r="I3" t="s">
        <v>473</v>
      </c>
      <c r="J3" t="s">
        <v>474</v>
      </c>
      <c r="K3" t="s">
        <v>475</v>
      </c>
      <c r="L3" t="s">
        <v>476</v>
      </c>
      <c r="M3" t="s">
        <v>474</v>
      </c>
      <c r="N3" s="45" t="s">
        <v>136</v>
      </c>
      <c r="O3" s="40" t="s">
        <v>136</v>
      </c>
      <c r="P3" s="20">
        <v>750</v>
      </c>
      <c r="Q3" s="42">
        <v>68</v>
      </c>
      <c r="R3" s="44">
        <v>103106</v>
      </c>
    </row>
    <row r="4" spans="1:18">
      <c r="A4" s="4" t="s">
        <v>296</v>
      </c>
      <c r="B4" s="4" t="s">
        <v>150</v>
      </c>
      <c r="C4" t="s">
        <v>478</v>
      </c>
      <c r="D4" t="s">
        <v>479</v>
      </c>
      <c r="E4" t="s">
        <v>480</v>
      </c>
      <c r="F4" t="s">
        <v>481</v>
      </c>
      <c r="G4" t="s">
        <v>482</v>
      </c>
      <c r="H4" t="s">
        <v>483</v>
      </c>
      <c r="I4" t="s">
        <v>484</v>
      </c>
      <c r="J4" t="s">
        <v>474</v>
      </c>
      <c r="K4" t="s">
        <v>476</v>
      </c>
      <c r="L4" t="s">
        <v>485</v>
      </c>
      <c r="M4" t="s">
        <v>474</v>
      </c>
      <c r="N4" t="s">
        <v>136</v>
      </c>
      <c r="O4" s="26" t="s">
        <v>136</v>
      </c>
      <c r="P4" s="14">
        <v>727</v>
      </c>
      <c r="Q4" s="42">
        <v>73</v>
      </c>
    </row>
    <row r="5" spans="1:18" ht="34.5" customHeight="1">
      <c r="A5" s="4" t="s">
        <v>297</v>
      </c>
      <c r="B5" s="4" t="s">
        <v>151</v>
      </c>
      <c r="C5" t="s">
        <v>486</v>
      </c>
      <c r="D5" t="s">
        <v>487</v>
      </c>
      <c r="E5" t="s">
        <v>488</v>
      </c>
      <c r="F5" t="s">
        <v>489</v>
      </c>
      <c r="G5" t="s">
        <v>490</v>
      </c>
      <c r="H5" t="s">
        <v>491</v>
      </c>
      <c r="I5" t="s">
        <v>492</v>
      </c>
      <c r="J5" t="s">
        <v>493</v>
      </c>
      <c r="K5" t="s">
        <v>494</v>
      </c>
      <c r="L5" t="s">
        <v>494</v>
      </c>
      <c r="M5" t="s">
        <v>495</v>
      </c>
      <c r="N5" s="31" t="s">
        <v>477</v>
      </c>
      <c r="O5" s="33" t="s">
        <v>1043</v>
      </c>
      <c r="P5" s="14">
        <v>423</v>
      </c>
      <c r="Q5" s="42">
        <v>42</v>
      </c>
      <c r="R5">
        <v>105</v>
      </c>
    </row>
    <row r="6" spans="1:18">
      <c r="A6" s="4" t="s">
        <v>298</v>
      </c>
      <c r="B6" s="4" t="s">
        <v>152</v>
      </c>
      <c r="C6" t="s">
        <v>496</v>
      </c>
      <c r="D6" t="s">
        <v>497</v>
      </c>
      <c r="E6" t="s">
        <v>498</v>
      </c>
      <c r="F6" t="s">
        <v>499</v>
      </c>
      <c r="G6" t="s">
        <v>500</v>
      </c>
      <c r="H6" t="s">
        <v>501</v>
      </c>
      <c r="I6" t="s">
        <v>502</v>
      </c>
      <c r="J6" t="s">
        <v>503</v>
      </c>
      <c r="K6" t="s">
        <v>476</v>
      </c>
      <c r="L6" t="s">
        <v>504</v>
      </c>
      <c r="M6" t="s">
        <v>505</v>
      </c>
      <c r="N6" t="s">
        <v>136</v>
      </c>
      <c r="O6" s="26" t="s">
        <v>136</v>
      </c>
      <c r="P6" s="14">
        <v>768</v>
      </c>
      <c r="Q6" s="42">
        <v>77</v>
      </c>
    </row>
    <row r="7" spans="1:18">
      <c r="A7" s="4" t="s">
        <v>299</v>
      </c>
      <c r="B7" s="4" t="s">
        <v>153</v>
      </c>
      <c r="C7" t="s">
        <v>506</v>
      </c>
      <c r="D7" t="s">
        <v>507</v>
      </c>
      <c r="E7" t="s">
        <v>508</v>
      </c>
      <c r="F7" t="s">
        <v>509</v>
      </c>
      <c r="G7" t="s">
        <v>510</v>
      </c>
      <c r="H7" t="s">
        <v>511</v>
      </c>
      <c r="I7" t="s">
        <v>512</v>
      </c>
      <c r="J7" t="s">
        <v>474</v>
      </c>
      <c r="K7" t="s">
        <v>476</v>
      </c>
      <c r="L7" t="s">
        <v>504</v>
      </c>
      <c r="M7" t="s">
        <v>513</v>
      </c>
      <c r="N7" t="s">
        <v>136</v>
      </c>
      <c r="O7" s="26" t="s">
        <v>136</v>
      </c>
      <c r="P7" s="14">
        <v>774</v>
      </c>
      <c r="Q7" s="42">
        <v>77</v>
      </c>
    </row>
    <row r="8" spans="1:18">
      <c r="A8" s="4" t="s">
        <v>300</v>
      </c>
      <c r="B8" s="4" t="s">
        <v>154</v>
      </c>
      <c r="C8" t="s">
        <v>514</v>
      </c>
      <c r="D8" t="s">
        <v>515</v>
      </c>
      <c r="E8" t="s">
        <v>516</v>
      </c>
      <c r="F8" t="s">
        <v>517</v>
      </c>
      <c r="G8" t="s">
        <v>518</v>
      </c>
      <c r="H8" t="s">
        <v>519</v>
      </c>
      <c r="I8" t="s">
        <v>474</v>
      </c>
      <c r="J8" t="s">
        <v>513</v>
      </c>
      <c r="K8" t="s">
        <v>504</v>
      </c>
      <c r="L8" t="s">
        <v>504</v>
      </c>
      <c r="M8" t="s">
        <v>474</v>
      </c>
      <c r="N8" t="s">
        <v>136</v>
      </c>
      <c r="O8" s="26" t="s">
        <v>136</v>
      </c>
      <c r="P8" s="14">
        <v>806</v>
      </c>
      <c r="Q8" s="42">
        <v>80</v>
      </c>
    </row>
    <row r="9" spans="1:18">
      <c r="A9" s="4" t="s">
        <v>301</v>
      </c>
      <c r="B9" s="4" t="s">
        <v>155</v>
      </c>
      <c r="C9" t="s">
        <v>520</v>
      </c>
      <c r="D9" t="s">
        <v>521</v>
      </c>
      <c r="E9" t="s">
        <v>522</v>
      </c>
      <c r="F9" t="s">
        <v>523</v>
      </c>
      <c r="G9" t="s">
        <v>524</v>
      </c>
      <c r="H9" t="s">
        <v>525</v>
      </c>
      <c r="I9" t="s">
        <v>525</v>
      </c>
      <c r="J9" t="s">
        <v>504</v>
      </c>
      <c r="K9" t="s">
        <v>504</v>
      </c>
      <c r="L9" t="s">
        <v>504</v>
      </c>
      <c r="M9" t="s">
        <v>525</v>
      </c>
      <c r="N9" t="s">
        <v>136</v>
      </c>
      <c r="O9" s="26" t="s">
        <v>136</v>
      </c>
      <c r="P9" s="14">
        <v>943</v>
      </c>
      <c r="Q9" s="42">
        <v>94</v>
      </c>
    </row>
    <row r="10" spans="1:18">
      <c r="A10" s="4" t="s">
        <v>302</v>
      </c>
      <c r="B10" s="4" t="s">
        <v>156</v>
      </c>
      <c r="C10" t="s">
        <v>526</v>
      </c>
      <c r="D10" t="s">
        <v>506</v>
      </c>
      <c r="E10" t="s">
        <v>527</v>
      </c>
      <c r="F10" t="s">
        <v>526</v>
      </c>
      <c r="G10" t="s">
        <v>528</v>
      </c>
      <c r="H10" t="s">
        <v>529</v>
      </c>
      <c r="I10" t="s">
        <v>473</v>
      </c>
      <c r="J10" t="s">
        <v>525</v>
      </c>
      <c r="K10" t="s">
        <v>504</v>
      </c>
      <c r="L10" t="s">
        <v>504</v>
      </c>
      <c r="M10" t="s">
        <v>525</v>
      </c>
      <c r="N10" t="s">
        <v>136</v>
      </c>
      <c r="O10" s="26" t="s">
        <v>136</v>
      </c>
      <c r="P10" s="26">
        <v>835</v>
      </c>
      <c r="Q10" s="42">
        <v>83</v>
      </c>
    </row>
    <row r="11" spans="1:18">
      <c r="A11" s="4" t="s">
        <v>303</v>
      </c>
      <c r="B11" s="4" t="s">
        <v>157</v>
      </c>
      <c r="C11" t="s">
        <v>530</v>
      </c>
      <c r="D11" t="s">
        <v>531</v>
      </c>
      <c r="E11" t="s">
        <v>532</v>
      </c>
      <c r="F11" t="s">
        <v>533</v>
      </c>
      <c r="G11" t="s">
        <v>534</v>
      </c>
      <c r="H11" t="s">
        <v>535</v>
      </c>
      <c r="I11" t="s">
        <v>536</v>
      </c>
      <c r="J11" t="s">
        <v>537</v>
      </c>
      <c r="K11" t="s">
        <v>494</v>
      </c>
      <c r="L11" t="s">
        <v>538</v>
      </c>
      <c r="M11" t="s">
        <v>539</v>
      </c>
      <c r="N11" s="31" t="s">
        <v>477</v>
      </c>
      <c r="O11" s="46" t="s">
        <v>1044</v>
      </c>
      <c r="P11" s="26">
        <v>512</v>
      </c>
      <c r="Q11" s="42">
        <v>51</v>
      </c>
      <c r="R11">
        <v>103</v>
      </c>
    </row>
    <row r="12" spans="1:18">
      <c r="A12" s="4" t="s">
        <v>304</v>
      </c>
      <c r="B12" s="4" t="s">
        <v>158</v>
      </c>
      <c r="C12" t="s">
        <v>540</v>
      </c>
      <c r="D12" t="s">
        <v>541</v>
      </c>
      <c r="E12" t="s">
        <v>542</v>
      </c>
      <c r="F12" t="s">
        <v>543</v>
      </c>
      <c r="G12" t="s">
        <v>528</v>
      </c>
      <c r="H12" t="s">
        <v>544</v>
      </c>
      <c r="I12" t="s">
        <v>545</v>
      </c>
      <c r="J12" t="s">
        <v>474</v>
      </c>
      <c r="K12" t="s">
        <v>504</v>
      </c>
      <c r="L12" t="s">
        <v>504</v>
      </c>
      <c r="M12" t="s">
        <v>546</v>
      </c>
      <c r="N12" t="s">
        <v>136</v>
      </c>
      <c r="O12" s="26" t="s">
        <v>136</v>
      </c>
      <c r="P12" s="14">
        <v>802</v>
      </c>
      <c r="Q12" s="42">
        <v>80</v>
      </c>
    </row>
    <row r="13" spans="1:18">
      <c r="A13" s="4" t="s">
        <v>305</v>
      </c>
      <c r="B13" s="4" t="s">
        <v>159</v>
      </c>
      <c r="C13" t="s">
        <v>547</v>
      </c>
      <c r="D13" t="s">
        <v>548</v>
      </c>
      <c r="E13" t="s">
        <v>549</v>
      </c>
      <c r="F13" t="s">
        <v>550</v>
      </c>
      <c r="G13" t="s">
        <v>551</v>
      </c>
      <c r="H13" t="s">
        <v>552</v>
      </c>
      <c r="I13" t="s">
        <v>553</v>
      </c>
      <c r="J13" t="s">
        <v>525</v>
      </c>
      <c r="K13" t="s">
        <v>554</v>
      </c>
      <c r="L13" t="s">
        <v>555</v>
      </c>
      <c r="M13" t="s">
        <v>525</v>
      </c>
      <c r="N13" t="s">
        <v>136</v>
      </c>
      <c r="O13" s="26" t="s">
        <v>136</v>
      </c>
      <c r="P13" s="14">
        <v>771</v>
      </c>
      <c r="Q13" s="42">
        <v>77</v>
      </c>
    </row>
    <row r="14" spans="1:18">
      <c r="A14" s="4" t="s">
        <v>1049</v>
      </c>
      <c r="B14" s="4" t="s">
        <v>160</v>
      </c>
      <c r="C14" t="s">
        <v>556</v>
      </c>
      <c r="D14" t="s">
        <v>557</v>
      </c>
      <c r="E14" t="s">
        <v>558</v>
      </c>
      <c r="F14" t="s">
        <v>559</v>
      </c>
      <c r="G14" t="s">
        <v>560</v>
      </c>
      <c r="H14" t="s">
        <v>561</v>
      </c>
      <c r="I14" t="s">
        <v>546</v>
      </c>
      <c r="J14" t="s">
        <v>474</v>
      </c>
      <c r="K14" t="s">
        <v>474</v>
      </c>
      <c r="L14" t="s">
        <v>476</v>
      </c>
      <c r="M14" t="s">
        <v>546</v>
      </c>
      <c r="N14" t="s">
        <v>136</v>
      </c>
      <c r="O14" s="26" t="s">
        <v>136</v>
      </c>
      <c r="P14" s="14">
        <v>782</v>
      </c>
      <c r="Q14" s="42">
        <v>78</v>
      </c>
    </row>
    <row r="15" spans="1:18">
      <c r="A15" s="4" t="s">
        <v>307</v>
      </c>
      <c r="B15" s="4" t="s">
        <v>161</v>
      </c>
      <c r="C15" t="s">
        <v>562</v>
      </c>
      <c r="D15" t="s">
        <v>563</v>
      </c>
      <c r="E15" t="s">
        <v>564</v>
      </c>
      <c r="F15" t="s">
        <v>565</v>
      </c>
      <c r="G15" t="s">
        <v>566</v>
      </c>
      <c r="H15" t="s">
        <v>566</v>
      </c>
      <c r="I15" t="s">
        <v>525</v>
      </c>
      <c r="J15" t="s">
        <v>525</v>
      </c>
      <c r="K15" t="s">
        <v>504</v>
      </c>
      <c r="L15" t="s">
        <v>504</v>
      </c>
      <c r="M15" t="s">
        <v>525</v>
      </c>
      <c r="N15" t="s">
        <v>136</v>
      </c>
      <c r="O15" s="26" t="s">
        <v>136</v>
      </c>
      <c r="P15" s="14">
        <v>878</v>
      </c>
      <c r="Q15" s="42">
        <v>87</v>
      </c>
    </row>
    <row r="16" spans="1:18">
      <c r="A16" s="4" t="s">
        <v>308</v>
      </c>
      <c r="B16" s="4" t="s">
        <v>162</v>
      </c>
      <c r="C16" t="s">
        <v>506</v>
      </c>
      <c r="D16" t="s">
        <v>567</v>
      </c>
      <c r="E16" t="s">
        <v>568</v>
      </c>
      <c r="F16" t="s">
        <v>569</v>
      </c>
      <c r="G16" t="s">
        <v>570</v>
      </c>
      <c r="H16" t="s">
        <v>571</v>
      </c>
      <c r="I16" t="s">
        <v>525</v>
      </c>
      <c r="J16" t="s">
        <v>513</v>
      </c>
      <c r="K16" t="s">
        <v>476</v>
      </c>
      <c r="L16" t="s">
        <v>476</v>
      </c>
      <c r="M16" t="s">
        <v>474</v>
      </c>
      <c r="N16" t="s">
        <v>136</v>
      </c>
      <c r="O16" s="26" t="s">
        <v>136</v>
      </c>
      <c r="P16" s="14">
        <v>775</v>
      </c>
      <c r="Q16" s="42">
        <v>77</v>
      </c>
    </row>
    <row r="17" spans="1:18">
      <c r="A17" s="4" t="s">
        <v>309</v>
      </c>
      <c r="B17" s="4" t="s">
        <v>163</v>
      </c>
      <c r="C17" t="s">
        <v>572</v>
      </c>
      <c r="D17" t="s">
        <v>573</v>
      </c>
      <c r="E17" t="s">
        <v>574</v>
      </c>
      <c r="F17" t="s">
        <v>575</v>
      </c>
      <c r="G17" t="s">
        <v>576</v>
      </c>
      <c r="H17" t="s">
        <v>577</v>
      </c>
      <c r="I17" t="s">
        <v>473</v>
      </c>
      <c r="J17" t="s">
        <v>578</v>
      </c>
      <c r="K17" t="s">
        <v>475</v>
      </c>
      <c r="L17" t="s">
        <v>579</v>
      </c>
      <c r="M17" t="s">
        <v>580</v>
      </c>
      <c r="N17" s="31" t="s">
        <v>477</v>
      </c>
      <c r="O17" s="34" t="s">
        <v>814</v>
      </c>
      <c r="P17" s="14">
        <v>616</v>
      </c>
      <c r="Q17" s="42">
        <v>61</v>
      </c>
      <c r="R17" s="44">
        <v>103106</v>
      </c>
    </row>
    <row r="18" spans="1:18">
      <c r="A18" s="4" t="s">
        <v>310</v>
      </c>
      <c r="B18" s="4" t="s">
        <v>164</v>
      </c>
      <c r="C18" t="s">
        <v>556</v>
      </c>
      <c r="D18" t="s">
        <v>581</v>
      </c>
      <c r="E18" t="s">
        <v>582</v>
      </c>
      <c r="F18" t="s">
        <v>583</v>
      </c>
      <c r="G18" t="s">
        <v>584</v>
      </c>
      <c r="H18" t="s">
        <v>585</v>
      </c>
      <c r="I18" t="s">
        <v>525</v>
      </c>
      <c r="J18" t="s">
        <v>513</v>
      </c>
      <c r="K18" t="s">
        <v>476</v>
      </c>
      <c r="L18" t="s">
        <v>586</v>
      </c>
      <c r="M18" t="s">
        <v>546</v>
      </c>
      <c r="N18" t="s">
        <v>136</v>
      </c>
      <c r="O18" s="26" t="s">
        <v>136</v>
      </c>
      <c r="P18" s="14">
        <v>716</v>
      </c>
      <c r="Q18" s="42">
        <v>71</v>
      </c>
    </row>
    <row r="19" spans="1:18">
      <c r="A19" s="4" t="s">
        <v>311</v>
      </c>
      <c r="B19" s="4" t="s">
        <v>165</v>
      </c>
      <c r="C19" t="s">
        <v>587</v>
      </c>
      <c r="D19" t="s">
        <v>588</v>
      </c>
      <c r="E19" t="s">
        <v>468</v>
      </c>
      <c r="F19" t="s">
        <v>550</v>
      </c>
      <c r="G19" t="s">
        <v>589</v>
      </c>
      <c r="H19" t="s">
        <v>590</v>
      </c>
      <c r="I19" t="s">
        <v>546</v>
      </c>
      <c r="J19" t="s">
        <v>525</v>
      </c>
      <c r="K19" t="s">
        <v>476</v>
      </c>
      <c r="L19" t="s">
        <v>555</v>
      </c>
      <c r="M19" t="s">
        <v>525</v>
      </c>
      <c r="N19" t="s">
        <v>136</v>
      </c>
      <c r="O19" s="26" t="s">
        <v>136</v>
      </c>
      <c r="P19" s="14">
        <v>731</v>
      </c>
      <c r="Q19" s="42">
        <v>73</v>
      </c>
    </row>
    <row r="20" spans="1:18">
      <c r="A20" s="4" t="s">
        <v>313</v>
      </c>
      <c r="B20" s="4" t="s">
        <v>166</v>
      </c>
      <c r="C20" t="s">
        <v>549</v>
      </c>
      <c r="D20" t="s">
        <v>591</v>
      </c>
      <c r="E20" t="s">
        <v>592</v>
      </c>
      <c r="F20" t="s">
        <v>593</v>
      </c>
      <c r="G20" t="s">
        <v>594</v>
      </c>
      <c r="H20" t="s">
        <v>595</v>
      </c>
      <c r="I20" t="s">
        <v>474</v>
      </c>
      <c r="J20" t="s">
        <v>596</v>
      </c>
      <c r="K20" t="s">
        <v>475</v>
      </c>
      <c r="L20" t="s">
        <v>475</v>
      </c>
      <c r="M20" t="s">
        <v>580</v>
      </c>
      <c r="N20" s="31" t="s">
        <v>477</v>
      </c>
      <c r="O20" s="34" t="s">
        <v>597</v>
      </c>
      <c r="P20" s="14">
        <v>553</v>
      </c>
      <c r="Q20" s="42">
        <v>55</v>
      </c>
    </row>
    <row r="21" spans="1:18">
      <c r="A21" s="4" t="s">
        <v>314</v>
      </c>
      <c r="B21" s="4" t="s">
        <v>167</v>
      </c>
      <c r="C21" t="s">
        <v>598</v>
      </c>
      <c r="D21" t="s">
        <v>599</v>
      </c>
      <c r="E21" t="s">
        <v>600</v>
      </c>
      <c r="F21" t="s">
        <v>601</v>
      </c>
      <c r="G21" t="s">
        <v>602</v>
      </c>
      <c r="H21" t="s">
        <v>603</v>
      </c>
      <c r="I21" t="s">
        <v>604</v>
      </c>
      <c r="J21" t="s">
        <v>605</v>
      </c>
      <c r="K21" t="s">
        <v>554</v>
      </c>
      <c r="L21" t="s">
        <v>542</v>
      </c>
      <c r="M21" t="s">
        <v>605</v>
      </c>
      <c r="N21" s="31" t="s">
        <v>477</v>
      </c>
      <c r="O21" s="32" t="s">
        <v>70</v>
      </c>
      <c r="P21" s="14">
        <v>675</v>
      </c>
      <c r="Q21" s="42">
        <v>65</v>
      </c>
    </row>
    <row r="22" spans="1:18">
      <c r="A22" s="4" t="s">
        <v>315</v>
      </c>
      <c r="B22" s="4" t="s">
        <v>168</v>
      </c>
      <c r="C22" t="s">
        <v>506</v>
      </c>
      <c r="D22" t="s">
        <v>606</v>
      </c>
      <c r="E22" t="s">
        <v>607</v>
      </c>
      <c r="F22" t="s">
        <v>608</v>
      </c>
      <c r="G22" t="s">
        <v>609</v>
      </c>
      <c r="H22" t="s">
        <v>610</v>
      </c>
      <c r="I22" t="s">
        <v>611</v>
      </c>
      <c r="J22" t="s">
        <v>545</v>
      </c>
      <c r="K22" t="s">
        <v>476</v>
      </c>
      <c r="L22" t="s">
        <v>476</v>
      </c>
      <c r="M22" t="s">
        <v>612</v>
      </c>
      <c r="N22" t="s">
        <v>136</v>
      </c>
      <c r="O22" s="26" t="s">
        <v>136</v>
      </c>
      <c r="P22" s="14">
        <v>810</v>
      </c>
      <c r="Q22" s="42">
        <v>81</v>
      </c>
    </row>
    <row r="23" spans="1:18">
      <c r="A23" s="4" t="s">
        <v>317</v>
      </c>
      <c r="B23" s="4" t="s">
        <v>169</v>
      </c>
      <c r="C23" t="s">
        <v>613</v>
      </c>
      <c r="D23" t="s">
        <v>614</v>
      </c>
      <c r="E23" t="s">
        <v>615</v>
      </c>
      <c r="F23" t="s">
        <v>616</v>
      </c>
      <c r="G23" t="s">
        <v>617</v>
      </c>
      <c r="H23" t="s">
        <v>618</v>
      </c>
      <c r="I23" t="s">
        <v>619</v>
      </c>
      <c r="J23" t="s">
        <v>546</v>
      </c>
      <c r="K23" t="s">
        <v>555</v>
      </c>
      <c r="L23" t="s">
        <v>555</v>
      </c>
      <c r="M23" t="s">
        <v>546</v>
      </c>
      <c r="N23" t="s">
        <v>136</v>
      </c>
      <c r="O23" s="26" t="s">
        <v>136</v>
      </c>
      <c r="P23" s="26">
        <v>858</v>
      </c>
      <c r="Q23" s="42">
        <v>85</v>
      </c>
    </row>
    <row r="24" spans="1:18">
      <c r="A24" s="4" t="s">
        <v>318</v>
      </c>
      <c r="B24" s="4" t="s">
        <v>170</v>
      </c>
      <c r="C24" t="s">
        <v>520</v>
      </c>
      <c r="D24" t="s">
        <v>613</v>
      </c>
      <c r="E24" t="s">
        <v>620</v>
      </c>
      <c r="F24" t="s">
        <v>621</v>
      </c>
      <c r="G24" t="s">
        <v>622</v>
      </c>
      <c r="H24" t="s">
        <v>623</v>
      </c>
      <c r="I24" t="s">
        <v>624</v>
      </c>
      <c r="J24" t="s">
        <v>525</v>
      </c>
      <c r="K24" t="s">
        <v>504</v>
      </c>
      <c r="L24" t="s">
        <v>504</v>
      </c>
      <c r="M24" t="s">
        <v>525</v>
      </c>
      <c r="N24" t="s">
        <v>136</v>
      </c>
      <c r="O24" s="26" t="s">
        <v>136</v>
      </c>
      <c r="P24" s="14">
        <v>891</v>
      </c>
      <c r="Q24" s="42">
        <v>89</v>
      </c>
    </row>
    <row r="25" spans="1:18">
      <c r="A25" s="4" t="s">
        <v>319</v>
      </c>
      <c r="B25" s="4" t="s">
        <v>171</v>
      </c>
      <c r="C25" t="s">
        <v>625</v>
      </c>
      <c r="D25" t="s">
        <v>626</v>
      </c>
      <c r="E25" t="s">
        <v>627</v>
      </c>
      <c r="F25" t="s">
        <v>628</v>
      </c>
      <c r="G25" t="s">
        <v>629</v>
      </c>
      <c r="H25" t="s">
        <v>630</v>
      </c>
      <c r="I25" t="s">
        <v>553</v>
      </c>
      <c r="J25" t="s">
        <v>525</v>
      </c>
      <c r="K25" t="s">
        <v>586</v>
      </c>
      <c r="L25" t="s">
        <v>555</v>
      </c>
      <c r="M25" t="s">
        <v>525</v>
      </c>
      <c r="N25" t="s">
        <v>136</v>
      </c>
      <c r="O25" s="26" t="s">
        <v>136</v>
      </c>
      <c r="P25" s="14">
        <v>768</v>
      </c>
      <c r="Q25" s="42">
        <v>76</v>
      </c>
    </row>
    <row r="26" spans="1:18" ht="36.75">
      <c r="A26" s="4" t="s">
        <v>320</v>
      </c>
      <c r="B26" s="5" t="s">
        <v>172</v>
      </c>
      <c r="C26" t="s">
        <v>540</v>
      </c>
      <c r="D26" t="s">
        <v>631</v>
      </c>
      <c r="E26" t="s">
        <v>632</v>
      </c>
      <c r="F26" t="s">
        <v>633</v>
      </c>
      <c r="G26" t="s">
        <v>557</v>
      </c>
      <c r="H26" t="s">
        <v>634</v>
      </c>
      <c r="I26" t="s">
        <v>635</v>
      </c>
      <c r="J26" t="s">
        <v>474</v>
      </c>
      <c r="K26" t="s">
        <v>476</v>
      </c>
      <c r="L26" t="s">
        <v>476</v>
      </c>
      <c r="M26" t="s">
        <v>546</v>
      </c>
      <c r="N26" t="s">
        <v>136</v>
      </c>
      <c r="O26" s="26" t="s">
        <v>136</v>
      </c>
      <c r="P26" s="14">
        <v>771</v>
      </c>
      <c r="Q26" s="42">
        <v>77</v>
      </c>
    </row>
    <row r="27" spans="1:18" ht="36" customHeight="1">
      <c r="A27" s="4" t="s">
        <v>322</v>
      </c>
      <c r="B27" s="4" t="s">
        <v>173</v>
      </c>
      <c r="C27" t="s">
        <v>586</v>
      </c>
      <c r="D27" t="s">
        <v>636</v>
      </c>
      <c r="E27" t="s">
        <v>637</v>
      </c>
      <c r="F27" t="s">
        <v>638</v>
      </c>
      <c r="G27" t="s">
        <v>638</v>
      </c>
      <c r="H27" t="s">
        <v>639</v>
      </c>
      <c r="I27" t="s">
        <v>640</v>
      </c>
      <c r="J27" t="s">
        <v>641</v>
      </c>
      <c r="K27" t="s">
        <v>642</v>
      </c>
      <c r="L27" t="s">
        <v>643</v>
      </c>
      <c r="M27" t="s">
        <v>641</v>
      </c>
      <c r="N27" s="31" t="s">
        <v>477</v>
      </c>
      <c r="O27" s="47" t="s">
        <v>1045</v>
      </c>
      <c r="P27" s="14">
        <v>544</v>
      </c>
      <c r="Q27" s="42">
        <v>37</v>
      </c>
      <c r="R27" s="35"/>
    </row>
    <row r="28" spans="1:18">
      <c r="A28" s="4" t="s">
        <v>324</v>
      </c>
      <c r="B28" s="4" t="s">
        <v>174</v>
      </c>
      <c r="C28" t="s">
        <v>644</v>
      </c>
      <c r="D28" t="s">
        <v>645</v>
      </c>
      <c r="E28" t="s">
        <v>646</v>
      </c>
      <c r="F28" t="s">
        <v>647</v>
      </c>
      <c r="G28" t="s">
        <v>602</v>
      </c>
      <c r="H28" t="s">
        <v>648</v>
      </c>
      <c r="I28" t="s">
        <v>649</v>
      </c>
      <c r="J28" t="s">
        <v>650</v>
      </c>
      <c r="K28" t="s">
        <v>485</v>
      </c>
      <c r="L28" t="s">
        <v>475</v>
      </c>
      <c r="M28" t="s">
        <v>612</v>
      </c>
      <c r="N28" s="31" t="s">
        <v>477</v>
      </c>
      <c r="O28" s="36" t="s">
        <v>651</v>
      </c>
      <c r="P28" s="14">
        <v>633</v>
      </c>
      <c r="Q28" s="42">
        <v>63</v>
      </c>
    </row>
    <row r="29" spans="1:18">
      <c r="A29" s="4" t="s">
        <v>325</v>
      </c>
      <c r="B29" s="4" t="s">
        <v>175</v>
      </c>
      <c r="C29" t="s">
        <v>652</v>
      </c>
      <c r="D29" t="s">
        <v>653</v>
      </c>
      <c r="E29" t="s">
        <v>654</v>
      </c>
      <c r="F29" t="s">
        <v>655</v>
      </c>
      <c r="G29" t="s">
        <v>656</v>
      </c>
      <c r="H29" t="s">
        <v>531</v>
      </c>
      <c r="I29" t="s">
        <v>539</v>
      </c>
      <c r="J29" t="s">
        <v>503</v>
      </c>
      <c r="K29" t="s">
        <v>476</v>
      </c>
      <c r="L29" t="s">
        <v>554</v>
      </c>
      <c r="M29" t="s">
        <v>505</v>
      </c>
      <c r="N29" s="31" t="s">
        <v>477</v>
      </c>
      <c r="O29" s="40" t="s">
        <v>70</v>
      </c>
      <c r="P29" s="14">
        <v>643</v>
      </c>
      <c r="Q29" s="42">
        <v>57</v>
      </c>
      <c r="R29">
        <v>106</v>
      </c>
    </row>
    <row r="30" spans="1:18">
      <c r="A30" s="4" t="s">
        <v>326</v>
      </c>
      <c r="B30" s="4" t="s">
        <v>176</v>
      </c>
      <c r="C30" t="s">
        <v>657</v>
      </c>
      <c r="D30" t="s">
        <v>658</v>
      </c>
      <c r="E30" t="s">
        <v>639</v>
      </c>
      <c r="F30" t="s">
        <v>659</v>
      </c>
      <c r="G30" t="s">
        <v>609</v>
      </c>
      <c r="H30" t="s">
        <v>660</v>
      </c>
      <c r="I30" t="s">
        <v>611</v>
      </c>
      <c r="J30" t="s">
        <v>661</v>
      </c>
      <c r="K30" t="s">
        <v>538</v>
      </c>
      <c r="L30" t="s">
        <v>643</v>
      </c>
      <c r="M30" t="s">
        <v>596</v>
      </c>
      <c r="N30" s="31" t="s">
        <v>477</v>
      </c>
      <c r="O30" s="48" t="s">
        <v>70</v>
      </c>
      <c r="P30" s="14">
        <v>752</v>
      </c>
      <c r="Q30" s="42">
        <v>67</v>
      </c>
    </row>
    <row r="31" spans="1:18">
      <c r="A31" s="4" t="s">
        <v>327</v>
      </c>
      <c r="B31" s="4" t="s">
        <v>177</v>
      </c>
      <c r="C31" t="s">
        <v>662</v>
      </c>
      <c r="D31" t="s">
        <v>663</v>
      </c>
      <c r="E31" t="s">
        <v>664</v>
      </c>
      <c r="F31" t="s">
        <v>665</v>
      </c>
      <c r="G31" t="s">
        <v>666</v>
      </c>
      <c r="H31" t="s">
        <v>667</v>
      </c>
      <c r="I31" t="s">
        <v>624</v>
      </c>
      <c r="J31" t="s">
        <v>525</v>
      </c>
      <c r="K31" t="s">
        <v>586</v>
      </c>
      <c r="L31" t="s">
        <v>586</v>
      </c>
      <c r="M31" t="s">
        <v>525</v>
      </c>
      <c r="N31" t="s">
        <v>136</v>
      </c>
      <c r="O31" s="26" t="s">
        <v>136</v>
      </c>
      <c r="P31" s="14">
        <v>777</v>
      </c>
      <c r="Q31" s="42">
        <v>77</v>
      </c>
    </row>
    <row r="32" spans="1:18">
      <c r="A32" s="4" t="s">
        <v>328</v>
      </c>
      <c r="B32" s="4" t="s">
        <v>178</v>
      </c>
      <c r="C32" t="s">
        <v>668</v>
      </c>
      <c r="D32" t="s">
        <v>669</v>
      </c>
      <c r="E32" t="s">
        <v>670</v>
      </c>
      <c r="F32" t="s">
        <v>664</v>
      </c>
      <c r="G32" t="s">
        <v>671</v>
      </c>
      <c r="H32" t="s">
        <v>592</v>
      </c>
      <c r="I32" t="s">
        <v>672</v>
      </c>
      <c r="J32" t="s">
        <v>650</v>
      </c>
      <c r="K32" t="s">
        <v>554</v>
      </c>
      <c r="L32" t="s">
        <v>554</v>
      </c>
      <c r="M32" t="s">
        <v>612</v>
      </c>
      <c r="N32" s="31" t="s">
        <v>477</v>
      </c>
      <c r="O32" s="36">
        <v>102</v>
      </c>
      <c r="P32" s="14">
        <v>655</v>
      </c>
      <c r="Q32" s="42">
        <v>59</v>
      </c>
    </row>
    <row r="33" spans="1:17">
      <c r="A33" s="4" t="s">
        <v>329</v>
      </c>
      <c r="B33" s="4" t="s">
        <v>179</v>
      </c>
      <c r="C33" t="s">
        <v>674</v>
      </c>
      <c r="D33" t="s">
        <v>675</v>
      </c>
      <c r="E33" t="s">
        <v>533</v>
      </c>
      <c r="F33" t="s">
        <v>676</v>
      </c>
      <c r="G33" t="s">
        <v>677</v>
      </c>
      <c r="H33" t="s">
        <v>678</v>
      </c>
      <c r="I33" t="s">
        <v>649</v>
      </c>
      <c r="J33" t="s">
        <v>612</v>
      </c>
      <c r="K33" t="s">
        <v>643</v>
      </c>
      <c r="L33" t="s">
        <v>554</v>
      </c>
      <c r="M33" t="s">
        <v>650</v>
      </c>
      <c r="N33" s="31" t="s">
        <v>477</v>
      </c>
      <c r="O33" s="34" t="s">
        <v>679</v>
      </c>
      <c r="P33" s="14">
        <v>621</v>
      </c>
      <c r="Q33" s="42">
        <v>62</v>
      </c>
    </row>
    <row r="34" spans="1:17">
      <c r="A34" s="4" t="s">
        <v>330</v>
      </c>
      <c r="B34" s="4" t="s">
        <v>180</v>
      </c>
      <c r="C34" t="s">
        <v>598</v>
      </c>
      <c r="D34" t="s">
        <v>680</v>
      </c>
      <c r="E34" t="s">
        <v>681</v>
      </c>
      <c r="F34" t="s">
        <v>682</v>
      </c>
      <c r="G34" t="s">
        <v>683</v>
      </c>
      <c r="H34" t="s">
        <v>684</v>
      </c>
      <c r="I34" t="s">
        <v>546</v>
      </c>
      <c r="J34" t="s">
        <v>596</v>
      </c>
      <c r="K34" t="s">
        <v>475</v>
      </c>
      <c r="L34" t="s">
        <v>475</v>
      </c>
      <c r="M34" t="s">
        <v>580</v>
      </c>
      <c r="N34" s="31" t="s">
        <v>477</v>
      </c>
      <c r="O34" s="34" t="s">
        <v>685</v>
      </c>
      <c r="P34" s="14">
        <v>662</v>
      </c>
      <c r="Q34" s="42">
        <v>66</v>
      </c>
    </row>
    <row r="35" spans="1:17" ht="15.75" thickBot="1">
      <c r="A35" s="4" t="s">
        <v>331</v>
      </c>
      <c r="B35" s="4" t="s">
        <v>181</v>
      </c>
      <c r="C35" t="s">
        <v>686</v>
      </c>
      <c r="D35" t="s">
        <v>687</v>
      </c>
      <c r="E35" t="s">
        <v>686</v>
      </c>
      <c r="F35" t="s">
        <v>688</v>
      </c>
      <c r="G35" t="s">
        <v>688</v>
      </c>
      <c r="H35" t="s">
        <v>689</v>
      </c>
      <c r="I35" t="s">
        <v>690</v>
      </c>
      <c r="J35" t="s">
        <v>493</v>
      </c>
      <c r="K35" t="s">
        <v>642</v>
      </c>
      <c r="L35" t="s">
        <v>554</v>
      </c>
      <c r="M35" t="s">
        <v>691</v>
      </c>
      <c r="N35" s="31" t="s">
        <v>477</v>
      </c>
      <c r="O35" s="37" t="s">
        <v>1046</v>
      </c>
      <c r="P35" s="14">
        <v>368</v>
      </c>
      <c r="Q35" s="42">
        <v>36</v>
      </c>
    </row>
    <row r="36" spans="1:17" ht="15.75" thickBot="1">
      <c r="A36" s="4" t="s">
        <v>332</v>
      </c>
      <c r="B36" s="6" t="s">
        <v>182</v>
      </c>
      <c r="C36" t="s">
        <v>562</v>
      </c>
      <c r="D36" t="s">
        <v>692</v>
      </c>
      <c r="E36" t="s">
        <v>471</v>
      </c>
      <c r="F36" t="s">
        <v>693</v>
      </c>
      <c r="G36" t="s">
        <v>694</v>
      </c>
      <c r="H36" t="s">
        <v>695</v>
      </c>
      <c r="I36" t="s">
        <v>635</v>
      </c>
      <c r="J36" t="s">
        <v>513</v>
      </c>
      <c r="K36" t="s">
        <v>555</v>
      </c>
      <c r="L36" t="s">
        <v>555</v>
      </c>
      <c r="M36" t="s">
        <v>474</v>
      </c>
      <c r="N36" t="s">
        <v>136</v>
      </c>
      <c r="O36" s="26" t="s">
        <v>136</v>
      </c>
      <c r="P36" s="14">
        <v>800</v>
      </c>
      <c r="Q36" s="42">
        <v>80</v>
      </c>
    </row>
    <row r="37" spans="1:17">
      <c r="A37" s="4" t="s">
        <v>333</v>
      </c>
      <c r="B37" s="7" t="s">
        <v>183</v>
      </c>
      <c r="C37" t="s">
        <v>598</v>
      </c>
      <c r="D37" t="s">
        <v>497</v>
      </c>
      <c r="E37" t="s">
        <v>696</v>
      </c>
      <c r="F37" t="s">
        <v>647</v>
      </c>
      <c r="G37" t="s">
        <v>697</v>
      </c>
      <c r="H37" t="s">
        <v>698</v>
      </c>
      <c r="I37" t="s">
        <v>513</v>
      </c>
      <c r="J37" t="s">
        <v>596</v>
      </c>
      <c r="K37" t="s">
        <v>475</v>
      </c>
      <c r="L37" t="s">
        <v>475</v>
      </c>
      <c r="M37" t="s">
        <v>580</v>
      </c>
      <c r="N37" s="31" t="s">
        <v>477</v>
      </c>
      <c r="O37" s="53" t="s">
        <v>699</v>
      </c>
      <c r="P37" s="14">
        <v>665</v>
      </c>
      <c r="Q37" s="42">
        <v>66</v>
      </c>
    </row>
    <row r="38" spans="1:17">
      <c r="A38" s="4" t="s">
        <v>334</v>
      </c>
      <c r="B38" s="7" t="s">
        <v>184</v>
      </c>
      <c r="C38" t="s">
        <v>700</v>
      </c>
      <c r="D38" t="s">
        <v>646</v>
      </c>
      <c r="E38" t="s">
        <v>701</v>
      </c>
      <c r="F38" t="s">
        <v>702</v>
      </c>
      <c r="G38" t="s">
        <v>696</v>
      </c>
      <c r="H38" t="s">
        <v>664</v>
      </c>
      <c r="I38" t="s">
        <v>605</v>
      </c>
      <c r="J38" t="s">
        <v>596</v>
      </c>
      <c r="K38" t="s">
        <v>475</v>
      </c>
      <c r="L38" t="s">
        <v>475</v>
      </c>
      <c r="M38" t="s">
        <v>580</v>
      </c>
      <c r="N38" t="s">
        <v>136</v>
      </c>
      <c r="O38" s="26" t="s">
        <v>136</v>
      </c>
      <c r="P38" s="14">
        <v>673</v>
      </c>
      <c r="Q38" s="42">
        <v>67</v>
      </c>
    </row>
    <row r="39" spans="1:17">
      <c r="A39" s="4" t="s">
        <v>335</v>
      </c>
      <c r="B39" s="7" t="s">
        <v>185</v>
      </c>
      <c r="C39" t="s">
        <v>703</v>
      </c>
      <c r="D39" t="s">
        <v>704</v>
      </c>
      <c r="E39" t="s">
        <v>705</v>
      </c>
      <c r="F39" t="s">
        <v>475</v>
      </c>
      <c r="G39" t="s">
        <v>706</v>
      </c>
      <c r="H39" t="s">
        <v>707</v>
      </c>
      <c r="I39" t="s">
        <v>546</v>
      </c>
      <c r="J39" t="s">
        <v>525</v>
      </c>
      <c r="K39" t="s">
        <v>586</v>
      </c>
      <c r="L39" t="s">
        <v>586</v>
      </c>
      <c r="M39" t="s">
        <v>525</v>
      </c>
      <c r="N39" s="31" t="s">
        <v>477</v>
      </c>
      <c r="O39" s="34">
        <v>102</v>
      </c>
      <c r="P39" s="14">
        <v>665</v>
      </c>
      <c r="Q39" s="42">
        <v>61</v>
      </c>
    </row>
    <row r="40" spans="1:17">
      <c r="A40" s="4" t="s">
        <v>336</v>
      </c>
      <c r="B40" s="7" t="s">
        <v>186</v>
      </c>
      <c r="C40" t="s">
        <v>708</v>
      </c>
      <c r="D40" t="s">
        <v>709</v>
      </c>
      <c r="E40" t="s">
        <v>710</v>
      </c>
      <c r="F40" t="s">
        <v>668</v>
      </c>
      <c r="G40" t="s">
        <v>711</v>
      </c>
      <c r="H40" t="s">
        <v>712</v>
      </c>
      <c r="I40" t="s">
        <v>525</v>
      </c>
      <c r="J40" t="s">
        <v>525</v>
      </c>
      <c r="K40" t="s">
        <v>504</v>
      </c>
      <c r="L40" t="s">
        <v>504</v>
      </c>
      <c r="M40" t="s">
        <v>525</v>
      </c>
      <c r="N40" t="s">
        <v>136</v>
      </c>
      <c r="O40" s="26" t="s">
        <v>136</v>
      </c>
      <c r="P40" s="14">
        <v>891</v>
      </c>
      <c r="Q40" s="42">
        <v>89</v>
      </c>
    </row>
    <row r="41" spans="1:17">
      <c r="A41" s="4" t="s">
        <v>337</v>
      </c>
      <c r="B41" s="7" t="s">
        <v>187</v>
      </c>
      <c r="C41" t="s">
        <v>496</v>
      </c>
      <c r="D41" t="s">
        <v>713</v>
      </c>
      <c r="E41" t="s">
        <v>714</v>
      </c>
      <c r="F41" t="s">
        <v>715</v>
      </c>
      <c r="G41" t="s">
        <v>716</v>
      </c>
      <c r="H41" t="s">
        <v>634</v>
      </c>
      <c r="I41" t="s">
        <v>717</v>
      </c>
      <c r="J41" t="s">
        <v>718</v>
      </c>
      <c r="K41" t="s">
        <v>476</v>
      </c>
      <c r="L41" t="s">
        <v>476</v>
      </c>
      <c r="M41" t="s">
        <v>718</v>
      </c>
      <c r="N41" s="31" t="s">
        <v>477</v>
      </c>
      <c r="O41" s="49" t="s">
        <v>719</v>
      </c>
      <c r="P41" s="14">
        <v>669</v>
      </c>
      <c r="Q41" s="42">
        <v>70</v>
      </c>
    </row>
    <row r="42" spans="1:17">
      <c r="A42" s="4" t="s">
        <v>338</v>
      </c>
      <c r="B42" s="7" t="s">
        <v>188</v>
      </c>
      <c r="C42" t="s">
        <v>720</v>
      </c>
      <c r="D42" t="s">
        <v>564</v>
      </c>
      <c r="E42" t="s">
        <v>721</v>
      </c>
      <c r="F42" t="s">
        <v>722</v>
      </c>
      <c r="G42" t="s">
        <v>723</v>
      </c>
      <c r="H42" t="s">
        <v>724</v>
      </c>
      <c r="I42" t="s">
        <v>525</v>
      </c>
      <c r="J42" t="s">
        <v>525</v>
      </c>
      <c r="K42" t="s">
        <v>476</v>
      </c>
      <c r="L42" t="s">
        <v>476</v>
      </c>
      <c r="M42" t="s">
        <v>525</v>
      </c>
      <c r="N42" t="s">
        <v>136</v>
      </c>
      <c r="O42" s="26" t="s">
        <v>136</v>
      </c>
      <c r="P42" s="14">
        <v>750</v>
      </c>
      <c r="Q42" s="42">
        <v>75</v>
      </c>
    </row>
    <row r="43" spans="1:17" ht="15.75" thickBot="1">
      <c r="A43" s="4" t="s">
        <v>339</v>
      </c>
      <c r="B43" s="7" t="s">
        <v>189</v>
      </c>
      <c r="C43" t="s">
        <v>725</v>
      </c>
      <c r="D43" t="s">
        <v>710</v>
      </c>
      <c r="E43" t="s">
        <v>726</v>
      </c>
      <c r="F43" t="s">
        <v>573</v>
      </c>
      <c r="G43" t="s">
        <v>727</v>
      </c>
      <c r="H43" t="s">
        <v>728</v>
      </c>
      <c r="I43" t="s">
        <v>729</v>
      </c>
      <c r="J43" t="s">
        <v>525</v>
      </c>
      <c r="K43" t="s">
        <v>730</v>
      </c>
      <c r="L43" t="s">
        <v>504</v>
      </c>
      <c r="M43" t="s">
        <v>525</v>
      </c>
      <c r="N43" s="31" t="s">
        <v>477</v>
      </c>
      <c r="O43" s="50" t="s">
        <v>731</v>
      </c>
      <c r="P43" s="14">
        <v>722</v>
      </c>
      <c r="Q43" s="42">
        <v>72</v>
      </c>
    </row>
    <row r="44" spans="1:17" ht="15.75" thickBot="1">
      <c r="A44" s="4" t="s">
        <v>340</v>
      </c>
      <c r="B44" s="7" t="s">
        <v>190</v>
      </c>
      <c r="C44" t="s">
        <v>526</v>
      </c>
      <c r="D44" t="s">
        <v>732</v>
      </c>
      <c r="E44" t="s">
        <v>724</v>
      </c>
      <c r="F44" t="s">
        <v>733</v>
      </c>
      <c r="G44" t="s">
        <v>734</v>
      </c>
      <c r="H44" t="s">
        <v>735</v>
      </c>
      <c r="I44" t="s">
        <v>736</v>
      </c>
      <c r="J44" t="s">
        <v>737</v>
      </c>
      <c r="K44" t="s">
        <v>555</v>
      </c>
      <c r="L44" t="s">
        <v>485</v>
      </c>
      <c r="M44" t="s">
        <v>525</v>
      </c>
      <c r="N44" s="31" t="s">
        <v>477</v>
      </c>
      <c r="O44" s="50" t="s">
        <v>738</v>
      </c>
      <c r="P44" s="20">
        <v>735</v>
      </c>
      <c r="Q44" s="42">
        <v>73</v>
      </c>
    </row>
    <row r="45" spans="1:17">
      <c r="A45" s="4" t="s">
        <v>341</v>
      </c>
      <c r="B45" s="7" t="s">
        <v>191</v>
      </c>
      <c r="C45" t="s">
        <v>616</v>
      </c>
      <c r="D45" t="s">
        <v>739</v>
      </c>
      <c r="E45" t="s">
        <v>538</v>
      </c>
      <c r="F45" t="s">
        <v>740</v>
      </c>
      <c r="G45" t="s">
        <v>741</v>
      </c>
      <c r="H45" t="s">
        <v>742</v>
      </c>
      <c r="I45" t="s">
        <v>743</v>
      </c>
      <c r="J45" t="s">
        <v>525</v>
      </c>
      <c r="K45" t="s">
        <v>555</v>
      </c>
      <c r="L45" t="s">
        <v>504</v>
      </c>
      <c r="M45" t="s">
        <v>525</v>
      </c>
      <c r="N45" t="s">
        <v>136</v>
      </c>
      <c r="O45" s="26" t="s">
        <v>136</v>
      </c>
      <c r="P45" s="14">
        <v>767</v>
      </c>
      <c r="Q45" s="42">
        <v>76</v>
      </c>
    </row>
    <row r="46" spans="1:17">
      <c r="A46" s="4" t="s">
        <v>342</v>
      </c>
      <c r="B46" s="7" t="s">
        <v>192</v>
      </c>
      <c r="C46" t="s">
        <v>526</v>
      </c>
      <c r="D46" t="s">
        <v>527</v>
      </c>
      <c r="E46" t="s">
        <v>744</v>
      </c>
      <c r="F46" t="s">
        <v>556</v>
      </c>
      <c r="G46" t="s">
        <v>745</v>
      </c>
      <c r="H46" t="s">
        <v>499</v>
      </c>
      <c r="I46" t="s">
        <v>746</v>
      </c>
      <c r="J46" t="s">
        <v>474</v>
      </c>
      <c r="K46" t="s">
        <v>485</v>
      </c>
      <c r="L46" t="s">
        <v>504</v>
      </c>
      <c r="M46" t="s">
        <v>546</v>
      </c>
      <c r="N46" t="s">
        <v>136</v>
      </c>
      <c r="O46" s="26" t="s">
        <v>136</v>
      </c>
      <c r="P46" s="14">
        <v>805</v>
      </c>
      <c r="Q46" s="42">
        <v>80</v>
      </c>
    </row>
    <row r="47" spans="1:17" ht="15.75" thickBot="1">
      <c r="A47" s="4" t="s">
        <v>343</v>
      </c>
      <c r="B47" s="7" t="s">
        <v>193</v>
      </c>
      <c r="C47" t="s">
        <v>547</v>
      </c>
      <c r="D47" t="s">
        <v>550</v>
      </c>
      <c r="E47" t="s">
        <v>747</v>
      </c>
      <c r="F47" t="s">
        <v>748</v>
      </c>
      <c r="G47" t="s">
        <v>749</v>
      </c>
      <c r="H47" t="s">
        <v>750</v>
      </c>
      <c r="I47" t="s">
        <v>751</v>
      </c>
      <c r="J47" t="s">
        <v>546</v>
      </c>
      <c r="K47" t="s">
        <v>475</v>
      </c>
      <c r="L47" t="s">
        <v>579</v>
      </c>
      <c r="M47" t="s">
        <v>546</v>
      </c>
      <c r="N47" t="s">
        <v>136</v>
      </c>
      <c r="O47" s="26" t="s">
        <v>136</v>
      </c>
      <c r="P47" s="14">
        <v>697</v>
      </c>
      <c r="Q47" s="42">
        <v>69</v>
      </c>
    </row>
    <row r="48" spans="1:17" ht="37.5" thickBot="1">
      <c r="A48" s="4" t="s">
        <v>344</v>
      </c>
      <c r="B48" s="8" t="s">
        <v>194</v>
      </c>
      <c r="C48" t="s">
        <v>752</v>
      </c>
      <c r="D48" t="s">
        <v>753</v>
      </c>
      <c r="E48" t="s">
        <v>754</v>
      </c>
      <c r="F48" t="s">
        <v>571</v>
      </c>
      <c r="G48" t="s">
        <v>755</v>
      </c>
      <c r="H48" t="s">
        <v>900</v>
      </c>
      <c r="I48" t="s">
        <v>756</v>
      </c>
      <c r="J48" t="s">
        <v>513</v>
      </c>
      <c r="K48" t="s">
        <v>475</v>
      </c>
      <c r="L48" t="s">
        <v>475</v>
      </c>
      <c r="M48" t="s">
        <v>474</v>
      </c>
      <c r="N48" s="31" t="s">
        <v>477</v>
      </c>
      <c r="O48" s="51" t="s">
        <v>70</v>
      </c>
      <c r="P48" s="20">
        <v>680</v>
      </c>
      <c r="Q48" s="42">
        <v>63</v>
      </c>
    </row>
    <row r="49" spans="1:18">
      <c r="A49" s="4" t="s">
        <v>346</v>
      </c>
      <c r="B49" s="7" t="s">
        <v>195</v>
      </c>
      <c r="C49" t="s">
        <v>625</v>
      </c>
      <c r="D49" t="s">
        <v>636</v>
      </c>
      <c r="E49" t="s">
        <v>582</v>
      </c>
      <c r="F49" t="s">
        <v>758</v>
      </c>
      <c r="G49" t="s">
        <v>759</v>
      </c>
      <c r="H49" t="s">
        <v>532</v>
      </c>
      <c r="I49" t="s">
        <v>760</v>
      </c>
      <c r="J49" t="s">
        <v>503</v>
      </c>
      <c r="K49" t="s">
        <v>475</v>
      </c>
      <c r="L49" t="s">
        <v>761</v>
      </c>
      <c r="M49" t="s">
        <v>505</v>
      </c>
      <c r="N49" s="31" t="s">
        <v>477</v>
      </c>
      <c r="O49" s="34">
        <v>102106</v>
      </c>
      <c r="P49" s="14">
        <v>602</v>
      </c>
      <c r="Q49" s="42">
        <v>58</v>
      </c>
    </row>
    <row r="50" spans="1:18">
      <c r="A50" s="4" t="s">
        <v>348</v>
      </c>
      <c r="B50" s="7" t="s">
        <v>196</v>
      </c>
      <c r="C50" t="s">
        <v>763</v>
      </c>
      <c r="D50" t="s">
        <v>682</v>
      </c>
      <c r="E50" t="s">
        <v>764</v>
      </c>
      <c r="F50" t="s">
        <v>765</v>
      </c>
      <c r="G50" t="s">
        <v>766</v>
      </c>
      <c r="H50" t="s">
        <v>767</v>
      </c>
      <c r="I50" t="s">
        <v>768</v>
      </c>
      <c r="J50" t="s">
        <v>650</v>
      </c>
      <c r="K50" t="s">
        <v>554</v>
      </c>
      <c r="L50" t="s">
        <v>554</v>
      </c>
      <c r="M50" t="s">
        <v>769</v>
      </c>
      <c r="N50" s="31" t="s">
        <v>477</v>
      </c>
      <c r="O50" s="52" t="s">
        <v>770</v>
      </c>
      <c r="P50" s="38">
        <v>480</v>
      </c>
      <c r="Q50" s="42">
        <v>48</v>
      </c>
    </row>
    <row r="51" spans="1:18">
      <c r="A51" s="4" t="s">
        <v>349</v>
      </c>
      <c r="B51" s="7" t="s">
        <v>197</v>
      </c>
      <c r="C51" t="s">
        <v>771</v>
      </c>
      <c r="D51" t="s">
        <v>588</v>
      </c>
      <c r="E51" t="s">
        <v>633</v>
      </c>
      <c r="F51" t="s">
        <v>763</v>
      </c>
      <c r="G51" t="s">
        <v>772</v>
      </c>
      <c r="H51" t="s">
        <v>773</v>
      </c>
      <c r="I51" t="s">
        <v>774</v>
      </c>
      <c r="J51" t="s">
        <v>525</v>
      </c>
      <c r="K51" t="s">
        <v>504</v>
      </c>
      <c r="L51" t="s">
        <v>504</v>
      </c>
      <c r="M51" t="s">
        <v>525</v>
      </c>
      <c r="N51" t="s">
        <v>136</v>
      </c>
      <c r="O51" s="26" t="s">
        <v>136</v>
      </c>
      <c r="P51" s="14">
        <v>811</v>
      </c>
      <c r="Q51" s="42">
        <v>81</v>
      </c>
    </row>
    <row r="52" spans="1:18">
      <c r="A52" s="4" t="s">
        <v>351</v>
      </c>
      <c r="B52" s="7" t="s">
        <v>198</v>
      </c>
      <c r="C52" t="s">
        <v>657</v>
      </c>
      <c r="D52" t="s">
        <v>664</v>
      </c>
      <c r="E52" t="s">
        <v>646</v>
      </c>
      <c r="F52" t="s">
        <v>775</v>
      </c>
      <c r="G52" t="s">
        <v>776</v>
      </c>
      <c r="H52" t="s">
        <v>777</v>
      </c>
      <c r="I52" t="s">
        <v>778</v>
      </c>
      <c r="J52" t="s">
        <v>596</v>
      </c>
      <c r="K52" t="s">
        <v>761</v>
      </c>
      <c r="L52" t="s">
        <v>761</v>
      </c>
      <c r="M52" t="s">
        <v>580</v>
      </c>
      <c r="N52" s="31" t="s">
        <v>477</v>
      </c>
      <c r="O52" s="53" t="s">
        <v>779</v>
      </c>
      <c r="P52" s="14">
        <v>680</v>
      </c>
      <c r="Q52" s="42">
        <v>68</v>
      </c>
    </row>
    <row r="53" spans="1:18" ht="15.75" thickBot="1">
      <c r="A53" s="4" t="s">
        <v>352</v>
      </c>
      <c r="B53" s="4" t="s">
        <v>199</v>
      </c>
      <c r="C53" t="s">
        <v>662</v>
      </c>
      <c r="D53" t="s">
        <v>524</v>
      </c>
      <c r="E53" t="s">
        <v>780</v>
      </c>
      <c r="F53" t="s">
        <v>771</v>
      </c>
      <c r="G53" t="s">
        <v>781</v>
      </c>
      <c r="H53" t="s">
        <v>782</v>
      </c>
      <c r="I53" t="s">
        <v>743</v>
      </c>
      <c r="J53" t="s">
        <v>525</v>
      </c>
      <c r="K53" t="s">
        <v>504</v>
      </c>
      <c r="L53" t="s">
        <v>504</v>
      </c>
      <c r="M53" t="s">
        <v>525</v>
      </c>
      <c r="N53" t="s">
        <v>136</v>
      </c>
      <c r="O53" s="26" t="s">
        <v>136</v>
      </c>
      <c r="P53" s="14">
        <v>891</v>
      </c>
      <c r="Q53" s="42">
        <v>89</v>
      </c>
    </row>
    <row r="54" spans="1:18" ht="15.75" thickBot="1">
      <c r="A54" s="4" t="s">
        <v>353</v>
      </c>
      <c r="B54" s="7" t="s">
        <v>200</v>
      </c>
      <c r="C54" t="s">
        <v>783</v>
      </c>
      <c r="D54" t="s">
        <v>784</v>
      </c>
      <c r="E54" t="s">
        <v>538</v>
      </c>
      <c r="F54" t="s">
        <v>752</v>
      </c>
      <c r="G54" t="s">
        <v>785</v>
      </c>
      <c r="H54" t="s">
        <v>663</v>
      </c>
      <c r="I54" t="s">
        <v>786</v>
      </c>
      <c r="J54" t="s">
        <v>525</v>
      </c>
      <c r="K54" t="s">
        <v>485</v>
      </c>
      <c r="L54" t="s">
        <v>485</v>
      </c>
      <c r="M54" t="s">
        <v>525</v>
      </c>
      <c r="N54" t="s">
        <v>136</v>
      </c>
      <c r="O54" s="26" t="s">
        <v>136</v>
      </c>
      <c r="P54" s="20">
        <v>779</v>
      </c>
      <c r="Q54" s="42">
        <v>80</v>
      </c>
    </row>
    <row r="55" spans="1:18">
      <c r="A55" s="4" t="s">
        <v>354</v>
      </c>
      <c r="B55" s="4" t="s">
        <v>201</v>
      </c>
      <c r="C55" t="s">
        <v>787</v>
      </c>
      <c r="D55" t="s">
        <v>667</v>
      </c>
      <c r="E55" t="s">
        <v>788</v>
      </c>
      <c r="F55" t="s">
        <v>789</v>
      </c>
      <c r="G55" t="s">
        <v>790</v>
      </c>
      <c r="H55" t="s">
        <v>791</v>
      </c>
      <c r="I55" t="s">
        <v>792</v>
      </c>
      <c r="J55" t="s">
        <v>474</v>
      </c>
      <c r="K55" t="s">
        <v>476</v>
      </c>
      <c r="L55" t="s">
        <v>555</v>
      </c>
      <c r="M55" t="s">
        <v>546</v>
      </c>
      <c r="N55" s="31" t="s">
        <v>477</v>
      </c>
      <c r="O55" s="52" t="s">
        <v>793</v>
      </c>
      <c r="P55" s="14">
        <v>655</v>
      </c>
      <c r="Q55" s="42">
        <v>65</v>
      </c>
    </row>
    <row r="56" spans="1:18">
      <c r="A56" s="4" t="s">
        <v>355</v>
      </c>
      <c r="B56" s="4" t="s">
        <v>202</v>
      </c>
      <c r="C56" t="s">
        <v>794</v>
      </c>
      <c r="D56" t="s">
        <v>471</v>
      </c>
      <c r="E56" t="s">
        <v>795</v>
      </c>
      <c r="F56" t="s">
        <v>468</v>
      </c>
      <c r="G56" t="s">
        <v>796</v>
      </c>
      <c r="H56" t="s">
        <v>592</v>
      </c>
      <c r="I56" t="s">
        <v>797</v>
      </c>
      <c r="J56" t="s">
        <v>503</v>
      </c>
      <c r="K56" t="s">
        <v>476</v>
      </c>
      <c r="L56" t="s">
        <v>476</v>
      </c>
      <c r="M56" t="s">
        <v>505</v>
      </c>
      <c r="N56" s="31" t="s">
        <v>477</v>
      </c>
      <c r="O56" s="53" t="s">
        <v>798</v>
      </c>
      <c r="P56" s="14">
        <v>661</v>
      </c>
      <c r="Q56" s="42">
        <v>66</v>
      </c>
    </row>
    <row r="57" spans="1:18">
      <c r="A57" s="4" t="s">
        <v>356</v>
      </c>
      <c r="B57" s="4" t="s">
        <v>203</v>
      </c>
      <c r="C57" t="s">
        <v>662</v>
      </c>
      <c r="D57" t="s">
        <v>799</v>
      </c>
      <c r="E57" t="s">
        <v>722</v>
      </c>
      <c r="F57" t="s">
        <v>800</v>
      </c>
      <c r="G57" t="s">
        <v>801</v>
      </c>
      <c r="H57" t="s">
        <v>802</v>
      </c>
      <c r="I57" t="s">
        <v>751</v>
      </c>
      <c r="J57" t="s">
        <v>525</v>
      </c>
      <c r="K57" t="s">
        <v>476</v>
      </c>
      <c r="L57" t="s">
        <v>485</v>
      </c>
      <c r="M57" t="s">
        <v>525</v>
      </c>
      <c r="N57" t="s">
        <v>136</v>
      </c>
      <c r="O57" s="26" t="s">
        <v>136</v>
      </c>
      <c r="P57" s="14">
        <v>810</v>
      </c>
      <c r="Q57" s="42">
        <v>81</v>
      </c>
    </row>
    <row r="58" spans="1:18" ht="15.75" thickBot="1">
      <c r="A58" s="10" t="s">
        <v>803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39"/>
      <c r="P58" s="39"/>
      <c r="Q58" s="43"/>
      <c r="R58" s="9"/>
    </row>
    <row r="59" spans="1:18" ht="15.75" thickBot="1">
      <c r="A59" s="4" t="s">
        <v>357</v>
      </c>
      <c r="B59" s="6" t="s">
        <v>204</v>
      </c>
      <c r="C59" t="s">
        <v>804</v>
      </c>
      <c r="D59" t="s">
        <v>805</v>
      </c>
      <c r="E59" t="s">
        <v>674</v>
      </c>
      <c r="F59" t="s">
        <v>781</v>
      </c>
      <c r="G59" t="s">
        <v>806</v>
      </c>
      <c r="H59" t="s">
        <v>807</v>
      </c>
      <c r="I59" t="s">
        <v>743</v>
      </c>
      <c r="J59" t="s">
        <v>737</v>
      </c>
      <c r="K59" t="s">
        <v>504</v>
      </c>
      <c r="L59" t="s">
        <v>504</v>
      </c>
      <c r="M59" t="s">
        <v>729</v>
      </c>
      <c r="N59" s="45" t="s">
        <v>70</v>
      </c>
      <c r="O59" s="40"/>
      <c r="P59" s="14">
        <v>853</v>
      </c>
      <c r="Q59" s="42">
        <v>85</v>
      </c>
    </row>
    <row r="60" spans="1:18" ht="15.75" thickBot="1">
      <c r="A60" s="4" t="s">
        <v>358</v>
      </c>
      <c r="B60" s="7" t="s">
        <v>205</v>
      </c>
      <c r="C60" t="s">
        <v>700</v>
      </c>
      <c r="D60" t="s">
        <v>692</v>
      </c>
      <c r="E60" t="s">
        <v>516</v>
      </c>
      <c r="F60" t="s">
        <v>800</v>
      </c>
      <c r="G60" t="s">
        <v>808</v>
      </c>
      <c r="H60" t="s">
        <v>557</v>
      </c>
      <c r="I60" t="s">
        <v>809</v>
      </c>
      <c r="J60" t="s">
        <v>546</v>
      </c>
      <c r="K60" t="s">
        <v>476</v>
      </c>
      <c r="L60" t="s">
        <v>476</v>
      </c>
      <c r="M60" t="s">
        <v>546</v>
      </c>
      <c r="N60" t="s">
        <v>136</v>
      </c>
      <c r="O60" s="26" t="s">
        <v>136</v>
      </c>
      <c r="P60" s="14">
        <v>787</v>
      </c>
      <c r="Q60" s="42">
        <v>78</v>
      </c>
    </row>
    <row r="61" spans="1:18" ht="15.75" thickBot="1">
      <c r="A61" s="4" t="s">
        <v>360</v>
      </c>
      <c r="B61" s="7" t="s">
        <v>206</v>
      </c>
      <c r="C61" t="s">
        <v>598</v>
      </c>
      <c r="D61" t="s">
        <v>468</v>
      </c>
      <c r="E61" t="s">
        <v>810</v>
      </c>
      <c r="F61" t="s">
        <v>811</v>
      </c>
      <c r="G61" t="s">
        <v>629</v>
      </c>
      <c r="H61" t="s">
        <v>812</v>
      </c>
      <c r="I61" t="s">
        <v>813</v>
      </c>
      <c r="J61" t="s">
        <v>513</v>
      </c>
      <c r="K61" t="s">
        <v>586</v>
      </c>
      <c r="L61" t="s">
        <v>586</v>
      </c>
      <c r="M61" t="s">
        <v>474</v>
      </c>
      <c r="N61" s="31" t="s">
        <v>477</v>
      </c>
      <c r="O61" s="52" t="s">
        <v>814</v>
      </c>
      <c r="P61" s="20">
        <v>676</v>
      </c>
      <c r="Q61" s="42">
        <v>67</v>
      </c>
    </row>
    <row r="62" spans="1:18">
      <c r="A62" s="4" t="s">
        <v>361</v>
      </c>
      <c r="B62" s="7" t="s">
        <v>207</v>
      </c>
      <c r="C62" t="s">
        <v>700</v>
      </c>
      <c r="D62" t="s">
        <v>496</v>
      </c>
      <c r="E62" t="s">
        <v>646</v>
      </c>
      <c r="F62" t="s">
        <v>516</v>
      </c>
      <c r="G62" t="s">
        <v>815</v>
      </c>
      <c r="H62" t="s">
        <v>816</v>
      </c>
      <c r="I62" t="s">
        <v>553</v>
      </c>
      <c r="J62" t="s">
        <v>525</v>
      </c>
      <c r="K62" t="s">
        <v>475</v>
      </c>
      <c r="L62" t="s">
        <v>476</v>
      </c>
      <c r="M62" t="s">
        <v>525</v>
      </c>
      <c r="N62" t="s">
        <v>136</v>
      </c>
      <c r="O62" s="26" t="s">
        <v>136</v>
      </c>
      <c r="P62" s="14">
        <v>749</v>
      </c>
      <c r="Q62" s="42">
        <v>74</v>
      </c>
    </row>
    <row r="63" spans="1:18">
      <c r="A63" s="4" t="s">
        <v>362</v>
      </c>
      <c r="B63" s="7" t="s">
        <v>208</v>
      </c>
      <c r="C63" t="s">
        <v>540</v>
      </c>
      <c r="D63" t="s">
        <v>563</v>
      </c>
      <c r="E63" t="s">
        <v>817</v>
      </c>
      <c r="F63" t="s">
        <v>496</v>
      </c>
      <c r="G63" t="s">
        <v>818</v>
      </c>
      <c r="H63" t="s">
        <v>728</v>
      </c>
      <c r="I63" t="s">
        <v>786</v>
      </c>
      <c r="J63" t="s">
        <v>525</v>
      </c>
      <c r="K63" t="s">
        <v>476</v>
      </c>
      <c r="L63" t="s">
        <v>504</v>
      </c>
      <c r="M63" t="s">
        <v>525</v>
      </c>
      <c r="N63" s="31" t="s">
        <v>477</v>
      </c>
      <c r="O63" s="53" t="s">
        <v>731</v>
      </c>
      <c r="P63" s="14">
        <v>742</v>
      </c>
      <c r="Q63" s="42">
        <v>74</v>
      </c>
    </row>
    <row r="64" spans="1:18">
      <c r="A64" s="4" t="s">
        <v>364</v>
      </c>
      <c r="B64" s="7" t="s">
        <v>209</v>
      </c>
      <c r="C64" t="s">
        <v>771</v>
      </c>
      <c r="D64" t="s">
        <v>819</v>
      </c>
      <c r="E64" t="s">
        <v>820</v>
      </c>
      <c r="F64" t="s">
        <v>821</v>
      </c>
      <c r="G64" t="s">
        <v>708</v>
      </c>
      <c r="H64" t="s">
        <v>523</v>
      </c>
      <c r="I64" t="s">
        <v>743</v>
      </c>
      <c r="J64" t="s">
        <v>525</v>
      </c>
      <c r="K64" t="s">
        <v>504</v>
      </c>
      <c r="L64" t="s">
        <v>504</v>
      </c>
      <c r="M64" t="s">
        <v>525</v>
      </c>
      <c r="N64" t="s">
        <v>136</v>
      </c>
      <c r="O64" s="40" t="s">
        <v>136</v>
      </c>
      <c r="P64" s="14">
        <v>877</v>
      </c>
      <c r="Q64" s="42">
        <v>87</v>
      </c>
    </row>
    <row r="65" spans="1:18">
      <c r="A65" s="4" t="s">
        <v>365</v>
      </c>
      <c r="B65" s="4" t="s">
        <v>210</v>
      </c>
      <c r="C65" t="s">
        <v>822</v>
      </c>
      <c r="D65" t="s">
        <v>574</v>
      </c>
      <c r="E65" t="s">
        <v>595</v>
      </c>
      <c r="F65" t="s">
        <v>595</v>
      </c>
      <c r="G65" t="s">
        <v>585</v>
      </c>
      <c r="H65" t="s">
        <v>689</v>
      </c>
      <c r="I65" t="s">
        <v>823</v>
      </c>
      <c r="J65" t="s">
        <v>691</v>
      </c>
      <c r="K65" t="s">
        <v>824</v>
      </c>
      <c r="L65" t="s">
        <v>554</v>
      </c>
      <c r="M65" t="s">
        <v>495</v>
      </c>
      <c r="N65" s="31" t="s">
        <v>477</v>
      </c>
      <c r="O65" s="34" t="s">
        <v>825</v>
      </c>
      <c r="P65" s="14">
        <v>496</v>
      </c>
      <c r="Q65" s="42">
        <v>49</v>
      </c>
    </row>
    <row r="66" spans="1:18">
      <c r="A66" s="4" t="s">
        <v>366</v>
      </c>
      <c r="B66" s="4" t="s">
        <v>211</v>
      </c>
      <c r="C66" t="s">
        <v>665</v>
      </c>
      <c r="D66" t="s">
        <v>561</v>
      </c>
      <c r="E66" t="s">
        <v>826</v>
      </c>
      <c r="F66" t="s">
        <v>592</v>
      </c>
      <c r="G66" t="s">
        <v>827</v>
      </c>
      <c r="H66" t="s">
        <v>828</v>
      </c>
      <c r="I66" t="s">
        <v>525</v>
      </c>
      <c r="J66" t="s">
        <v>474</v>
      </c>
      <c r="K66" t="s">
        <v>475</v>
      </c>
      <c r="L66" t="s">
        <v>475</v>
      </c>
      <c r="M66" t="s">
        <v>546</v>
      </c>
      <c r="N66" s="31" t="s">
        <v>477</v>
      </c>
      <c r="O66" s="36" t="s">
        <v>757</v>
      </c>
      <c r="P66" s="14">
        <v>615</v>
      </c>
      <c r="Q66" s="42">
        <v>61</v>
      </c>
    </row>
    <row r="67" spans="1:18" ht="15.75" thickBot="1">
      <c r="A67" s="4" t="s">
        <v>367</v>
      </c>
      <c r="B67" s="4" t="s">
        <v>212</v>
      </c>
      <c r="C67" t="s">
        <v>829</v>
      </c>
      <c r="D67" t="s">
        <v>830</v>
      </c>
      <c r="E67" t="s">
        <v>831</v>
      </c>
      <c r="F67" t="s">
        <v>538</v>
      </c>
      <c r="G67" t="s">
        <v>832</v>
      </c>
      <c r="H67" t="s">
        <v>833</v>
      </c>
      <c r="I67" t="s">
        <v>751</v>
      </c>
      <c r="J67" t="s">
        <v>546</v>
      </c>
      <c r="K67" t="s">
        <v>504</v>
      </c>
      <c r="L67" t="s">
        <v>475</v>
      </c>
      <c r="M67" t="s">
        <v>474</v>
      </c>
      <c r="N67" s="31" t="s">
        <v>477</v>
      </c>
      <c r="O67" s="36" t="s">
        <v>793</v>
      </c>
      <c r="P67" s="14">
        <v>616</v>
      </c>
      <c r="Q67" s="42">
        <v>61</v>
      </c>
    </row>
    <row r="68" spans="1:18" ht="15.75" thickBot="1">
      <c r="A68" s="4" t="s">
        <v>368</v>
      </c>
      <c r="B68" s="4" t="s">
        <v>213</v>
      </c>
      <c r="C68" t="s">
        <v>834</v>
      </c>
      <c r="D68" t="s">
        <v>805</v>
      </c>
      <c r="E68" t="s">
        <v>835</v>
      </c>
      <c r="F68" t="s">
        <v>556</v>
      </c>
      <c r="G68" t="s">
        <v>836</v>
      </c>
      <c r="H68" t="s">
        <v>837</v>
      </c>
      <c r="I68" t="s">
        <v>838</v>
      </c>
      <c r="J68" t="s">
        <v>525</v>
      </c>
      <c r="K68" t="s">
        <v>485</v>
      </c>
      <c r="L68" t="s">
        <v>504</v>
      </c>
      <c r="M68" t="s">
        <v>525</v>
      </c>
      <c r="N68" t="s">
        <v>136</v>
      </c>
      <c r="O68" s="26" t="s">
        <v>136</v>
      </c>
      <c r="P68" s="20">
        <v>897</v>
      </c>
      <c r="Q68" s="42">
        <v>89</v>
      </c>
    </row>
    <row r="69" spans="1:18" ht="15.75" thickBot="1">
      <c r="A69" s="4" t="s">
        <v>369</v>
      </c>
      <c r="B69" s="4" t="s">
        <v>214</v>
      </c>
      <c r="C69" t="s">
        <v>714</v>
      </c>
      <c r="D69" t="s">
        <v>839</v>
      </c>
      <c r="E69" t="s">
        <v>687</v>
      </c>
      <c r="F69" t="s">
        <v>687</v>
      </c>
      <c r="G69" t="s">
        <v>689</v>
      </c>
      <c r="H69" t="s">
        <v>840</v>
      </c>
      <c r="I69" t="s">
        <v>841</v>
      </c>
      <c r="J69" t="s">
        <v>842</v>
      </c>
      <c r="K69" t="s">
        <v>691</v>
      </c>
      <c r="L69" t="s">
        <v>554</v>
      </c>
      <c r="M69" t="s">
        <v>475</v>
      </c>
      <c r="N69" s="31" t="s">
        <v>477</v>
      </c>
      <c r="O69" s="37" t="s">
        <v>1047</v>
      </c>
      <c r="P69" s="20">
        <v>377</v>
      </c>
      <c r="Q69" s="42">
        <v>37</v>
      </c>
      <c r="R69">
        <v>111</v>
      </c>
    </row>
    <row r="70" spans="1:18" ht="15.75" thickBot="1">
      <c r="A70" s="4" t="s">
        <v>371</v>
      </c>
      <c r="B70" s="6" t="s">
        <v>215</v>
      </c>
      <c r="C70" t="s">
        <v>843</v>
      </c>
      <c r="D70" t="s">
        <v>844</v>
      </c>
      <c r="E70" t="s">
        <v>824</v>
      </c>
      <c r="F70" t="s">
        <v>542</v>
      </c>
      <c r="G70" t="s">
        <v>697</v>
      </c>
      <c r="H70" t="s">
        <v>830</v>
      </c>
      <c r="I70" t="s">
        <v>729</v>
      </c>
      <c r="J70" t="s">
        <v>546</v>
      </c>
      <c r="K70" t="s">
        <v>476</v>
      </c>
      <c r="L70" t="s">
        <v>476</v>
      </c>
      <c r="M70" t="s">
        <v>546</v>
      </c>
      <c r="N70" t="s">
        <v>136</v>
      </c>
      <c r="O70" s="26" t="s">
        <v>136</v>
      </c>
      <c r="P70" s="14">
        <v>700</v>
      </c>
      <c r="Q70" s="42">
        <v>70</v>
      </c>
    </row>
    <row r="71" spans="1:18" ht="15.75" thickBot="1">
      <c r="A71" s="4" t="s">
        <v>372</v>
      </c>
      <c r="B71" s="4" t="s">
        <v>216</v>
      </c>
      <c r="C71" t="s">
        <v>820</v>
      </c>
      <c r="D71" t="s">
        <v>845</v>
      </c>
      <c r="E71" t="s">
        <v>583</v>
      </c>
      <c r="F71" t="s">
        <v>567</v>
      </c>
      <c r="G71" t="s">
        <v>544</v>
      </c>
      <c r="H71" t="s">
        <v>549</v>
      </c>
      <c r="I71" t="s">
        <v>774</v>
      </c>
      <c r="J71" t="s">
        <v>525</v>
      </c>
      <c r="K71" t="s">
        <v>476</v>
      </c>
      <c r="L71" t="s">
        <v>504</v>
      </c>
      <c r="M71" t="s">
        <v>525</v>
      </c>
      <c r="N71" t="s">
        <v>136</v>
      </c>
      <c r="O71" s="26" t="s">
        <v>136</v>
      </c>
      <c r="P71" s="20">
        <v>726</v>
      </c>
      <c r="Q71" s="42">
        <v>72</v>
      </c>
    </row>
    <row r="72" spans="1:18">
      <c r="A72" s="4" t="s">
        <v>373</v>
      </c>
      <c r="B72" s="4" t="s">
        <v>217</v>
      </c>
      <c r="C72" t="s">
        <v>662</v>
      </c>
      <c r="D72" t="s">
        <v>846</v>
      </c>
      <c r="E72" t="s">
        <v>781</v>
      </c>
      <c r="F72" t="s">
        <v>523</v>
      </c>
      <c r="G72" t="s">
        <v>781</v>
      </c>
      <c r="H72" t="s">
        <v>847</v>
      </c>
      <c r="I72" t="s">
        <v>525</v>
      </c>
      <c r="J72" t="s">
        <v>525</v>
      </c>
      <c r="K72" t="s">
        <v>504</v>
      </c>
      <c r="L72" t="s">
        <v>504</v>
      </c>
      <c r="M72" t="s">
        <v>525</v>
      </c>
      <c r="N72" t="s">
        <v>136</v>
      </c>
      <c r="O72" s="26" t="s">
        <v>136</v>
      </c>
      <c r="P72" s="14">
        <v>961</v>
      </c>
      <c r="Q72" s="42">
        <v>96</v>
      </c>
    </row>
    <row r="73" spans="1:18">
      <c r="A73" s="4" t="s">
        <v>374</v>
      </c>
      <c r="B73" s="4" t="s">
        <v>218</v>
      </c>
      <c r="C73" t="s">
        <v>674</v>
      </c>
      <c r="D73" t="s">
        <v>807</v>
      </c>
      <c r="E73" t="s">
        <v>829</v>
      </c>
      <c r="F73" t="s">
        <v>548</v>
      </c>
      <c r="G73" t="s">
        <v>523</v>
      </c>
      <c r="H73" t="s">
        <v>848</v>
      </c>
      <c r="I73" t="s">
        <v>729</v>
      </c>
      <c r="J73" t="s">
        <v>525</v>
      </c>
      <c r="K73" t="s">
        <v>504</v>
      </c>
      <c r="L73" t="s">
        <v>476</v>
      </c>
      <c r="M73" t="s">
        <v>525</v>
      </c>
      <c r="N73" t="s">
        <v>136</v>
      </c>
      <c r="O73" s="26" t="s">
        <v>136</v>
      </c>
      <c r="P73" s="14">
        <v>881</v>
      </c>
      <c r="Q73" s="42">
        <v>88</v>
      </c>
    </row>
    <row r="74" spans="1:18">
      <c r="A74" s="4" t="s">
        <v>376</v>
      </c>
      <c r="B74" s="4" t="s">
        <v>219</v>
      </c>
      <c r="C74" t="s">
        <v>806</v>
      </c>
      <c r="D74" t="s">
        <v>509</v>
      </c>
      <c r="E74" t="s">
        <v>849</v>
      </c>
      <c r="F74" t="s">
        <v>780</v>
      </c>
      <c r="G74" t="s">
        <v>815</v>
      </c>
      <c r="H74" t="s">
        <v>850</v>
      </c>
      <c r="I74" t="s">
        <v>809</v>
      </c>
      <c r="J74" t="s">
        <v>513</v>
      </c>
      <c r="K74" t="s">
        <v>504</v>
      </c>
      <c r="L74" t="s">
        <v>504</v>
      </c>
      <c r="M74" t="s">
        <v>513</v>
      </c>
      <c r="N74" s="31" t="s">
        <v>477</v>
      </c>
      <c r="O74" s="53" t="s">
        <v>798</v>
      </c>
      <c r="P74" s="14">
        <v>732</v>
      </c>
      <c r="Q74" s="42">
        <v>73</v>
      </c>
    </row>
    <row r="75" spans="1:18">
      <c r="A75" s="4" t="s">
        <v>377</v>
      </c>
      <c r="B75" s="4" t="s">
        <v>220</v>
      </c>
      <c r="C75" t="s">
        <v>851</v>
      </c>
      <c r="D75" t="s">
        <v>852</v>
      </c>
      <c r="E75" t="s">
        <v>853</v>
      </c>
      <c r="F75" t="s">
        <v>616</v>
      </c>
      <c r="G75" t="s">
        <v>854</v>
      </c>
      <c r="H75" t="s">
        <v>666</v>
      </c>
      <c r="I75" t="s">
        <v>855</v>
      </c>
      <c r="J75" t="s">
        <v>525</v>
      </c>
      <c r="K75" t="s">
        <v>504</v>
      </c>
      <c r="L75" t="s">
        <v>504</v>
      </c>
      <c r="M75" t="s">
        <v>525</v>
      </c>
      <c r="N75" s="31" t="s">
        <v>477</v>
      </c>
      <c r="O75" s="53" t="s">
        <v>856</v>
      </c>
      <c r="P75" s="14">
        <v>837</v>
      </c>
      <c r="Q75" s="42">
        <v>83</v>
      </c>
    </row>
    <row r="76" spans="1:18">
      <c r="A76" s="4" t="s">
        <v>378</v>
      </c>
      <c r="B76" s="4" t="s">
        <v>221</v>
      </c>
      <c r="C76" t="s">
        <v>804</v>
      </c>
      <c r="D76" t="s">
        <v>846</v>
      </c>
      <c r="E76" t="s">
        <v>857</v>
      </c>
      <c r="F76" t="s">
        <v>514</v>
      </c>
      <c r="G76" t="s">
        <v>857</v>
      </c>
      <c r="H76" t="s">
        <v>521</v>
      </c>
      <c r="I76" t="s">
        <v>553</v>
      </c>
      <c r="J76" t="s">
        <v>525</v>
      </c>
      <c r="K76" t="s">
        <v>504</v>
      </c>
      <c r="L76" t="s">
        <v>504</v>
      </c>
      <c r="M76" t="s">
        <v>525</v>
      </c>
      <c r="N76" t="s">
        <v>136</v>
      </c>
      <c r="O76" s="26" t="s">
        <v>136</v>
      </c>
      <c r="P76" s="14">
        <v>963</v>
      </c>
      <c r="Q76" s="42">
        <v>96</v>
      </c>
    </row>
    <row r="77" spans="1:18">
      <c r="A77" s="4" t="s">
        <v>379</v>
      </c>
      <c r="B77" s="4" t="s">
        <v>222</v>
      </c>
      <c r="C77" t="s">
        <v>715</v>
      </c>
      <c r="D77" t="s">
        <v>592</v>
      </c>
      <c r="E77" t="s">
        <v>1017</v>
      </c>
      <c r="F77" t="s">
        <v>519</v>
      </c>
      <c r="G77" t="s">
        <v>858</v>
      </c>
      <c r="H77" t="s">
        <v>592</v>
      </c>
      <c r="I77" t="s">
        <v>859</v>
      </c>
      <c r="J77" t="s">
        <v>503</v>
      </c>
      <c r="K77" t="s">
        <v>554</v>
      </c>
      <c r="L77" t="s">
        <v>476</v>
      </c>
      <c r="M77" t="s">
        <v>860</v>
      </c>
      <c r="N77" s="31" t="s">
        <v>70</v>
      </c>
      <c r="O77" s="32"/>
      <c r="P77" s="14">
        <v>637</v>
      </c>
      <c r="Q77" s="42">
        <v>63</v>
      </c>
    </row>
    <row r="78" spans="1:18">
      <c r="A78" s="4" t="s">
        <v>380</v>
      </c>
      <c r="B78" s="4" t="s">
        <v>223</v>
      </c>
      <c r="C78" t="s">
        <v>520</v>
      </c>
      <c r="D78" t="s">
        <v>657</v>
      </c>
      <c r="E78" t="s">
        <v>586</v>
      </c>
      <c r="F78" t="s">
        <v>703</v>
      </c>
      <c r="G78" t="s">
        <v>861</v>
      </c>
      <c r="H78" t="s">
        <v>862</v>
      </c>
      <c r="I78" t="s">
        <v>743</v>
      </c>
      <c r="J78" t="s">
        <v>525</v>
      </c>
      <c r="K78" t="s">
        <v>504</v>
      </c>
      <c r="L78" t="s">
        <v>504</v>
      </c>
      <c r="M78" t="s">
        <v>525</v>
      </c>
      <c r="N78" t="s">
        <v>136</v>
      </c>
      <c r="O78" s="26" t="s">
        <v>136</v>
      </c>
      <c r="P78" s="14">
        <v>832</v>
      </c>
      <c r="Q78" s="42">
        <v>83</v>
      </c>
    </row>
    <row r="79" spans="1:18" ht="15.75" thickBot="1">
      <c r="A79" s="4" t="s">
        <v>381</v>
      </c>
      <c r="B79" s="4" t="s">
        <v>224</v>
      </c>
      <c r="C79" t="s">
        <v>794</v>
      </c>
      <c r="D79" t="s">
        <v>863</v>
      </c>
      <c r="E79" t="s">
        <v>864</v>
      </c>
      <c r="F79" t="s">
        <v>748</v>
      </c>
      <c r="G79" t="s">
        <v>865</v>
      </c>
      <c r="H79" t="s">
        <v>515</v>
      </c>
      <c r="I79" t="s">
        <v>743</v>
      </c>
      <c r="J79" t="s">
        <v>580</v>
      </c>
      <c r="K79" t="s">
        <v>554</v>
      </c>
      <c r="L79" t="s">
        <v>475</v>
      </c>
      <c r="M79" t="s">
        <v>578</v>
      </c>
      <c r="N79" t="s">
        <v>136</v>
      </c>
      <c r="O79" s="26" t="s">
        <v>136</v>
      </c>
      <c r="P79" s="14">
        <v>753</v>
      </c>
      <c r="Q79" s="42">
        <v>75</v>
      </c>
    </row>
    <row r="80" spans="1:18" ht="15.75" thickBot="1">
      <c r="A80" s="4" t="s">
        <v>382</v>
      </c>
      <c r="B80" s="4" t="s">
        <v>225</v>
      </c>
      <c r="C80" t="s">
        <v>866</v>
      </c>
      <c r="D80" t="s">
        <v>489</v>
      </c>
      <c r="E80" t="s">
        <v>831</v>
      </c>
      <c r="F80" t="s">
        <v>867</v>
      </c>
      <c r="G80" t="s">
        <v>868</v>
      </c>
      <c r="H80" t="s">
        <v>869</v>
      </c>
      <c r="I80" t="s">
        <v>640</v>
      </c>
      <c r="J80" t="s">
        <v>691</v>
      </c>
      <c r="K80" t="s">
        <v>870</v>
      </c>
      <c r="L80" t="s">
        <v>475</v>
      </c>
      <c r="M80" t="s">
        <v>493</v>
      </c>
      <c r="N80" s="31" t="s">
        <v>477</v>
      </c>
      <c r="O80" s="53" t="s">
        <v>731</v>
      </c>
      <c r="P80" s="20">
        <v>541</v>
      </c>
      <c r="Q80" s="42">
        <v>54</v>
      </c>
    </row>
    <row r="81" spans="1:17" ht="15.75" thickBot="1">
      <c r="A81" s="4" t="s">
        <v>383</v>
      </c>
      <c r="B81" s="4" t="s">
        <v>226</v>
      </c>
      <c r="C81" t="s">
        <v>780</v>
      </c>
      <c r="D81" t="s">
        <v>871</v>
      </c>
      <c r="E81" t="s">
        <v>707</v>
      </c>
      <c r="F81" t="s">
        <v>538</v>
      </c>
      <c r="G81" t="s">
        <v>664</v>
      </c>
      <c r="H81" t="s">
        <v>928</v>
      </c>
      <c r="I81" t="s">
        <v>872</v>
      </c>
      <c r="J81" t="s">
        <v>505</v>
      </c>
      <c r="K81" t="s">
        <v>476</v>
      </c>
      <c r="L81" t="s">
        <v>476</v>
      </c>
      <c r="M81" t="s">
        <v>505</v>
      </c>
      <c r="N81" s="31" t="s">
        <v>477</v>
      </c>
      <c r="O81" s="34">
        <v>102103</v>
      </c>
      <c r="P81" s="14">
        <v>580</v>
      </c>
      <c r="Q81" s="42">
        <v>54</v>
      </c>
    </row>
    <row r="82" spans="1:17" ht="25.5" thickBot="1">
      <c r="A82" s="4" t="s">
        <v>384</v>
      </c>
      <c r="B82" s="6" t="s">
        <v>227</v>
      </c>
      <c r="C82" t="s">
        <v>517</v>
      </c>
      <c r="D82" t="s">
        <v>709</v>
      </c>
      <c r="E82" t="s">
        <v>481</v>
      </c>
      <c r="F82" t="s">
        <v>657</v>
      </c>
      <c r="G82" t="s">
        <v>873</v>
      </c>
      <c r="H82" t="s">
        <v>874</v>
      </c>
      <c r="I82" t="s">
        <v>690</v>
      </c>
      <c r="J82" t="s">
        <v>650</v>
      </c>
      <c r="K82" t="s">
        <v>475</v>
      </c>
      <c r="L82" t="s">
        <v>554</v>
      </c>
      <c r="M82" t="s">
        <v>650</v>
      </c>
      <c r="N82" t="s">
        <v>136</v>
      </c>
      <c r="O82" s="26" t="s">
        <v>136</v>
      </c>
      <c r="P82" s="14">
        <v>817</v>
      </c>
      <c r="Q82" s="42">
        <v>81</v>
      </c>
    </row>
    <row r="83" spans="1:17" ht="25.5" thickBot="1">
      <c r="A83" s="4" t="s">
        <v>385</v>
      </c>
      <c r="B83" s="6" t="s">
        <v>228</v>
      </c>
      <c r="C83" t="s">
        <v>875</v>
      </c>
      <c r="D83" t="s">
        <v>508</v>
      </c>
      <c r="E83" t="s">
        <v>488</v>
      </c>
      <c r="F83" t="s">
        <v>468</v>
      </c>
      <c r="G83" t="s">
        <v>876</v>
      </c>
      <c r="H83" t="s">
        <v>877</v>
      </c>
      <c r="I83" t="s">
        <v>878</v>
      </c>
      <c r="J83" t="s">
        <v>503</v>
      </c>
      <c r="K83" t="s">
        <v>554</v>
      </c>
      <c r="L83" t="s">
        <v>476</v>
      </c>
      <c r="M83" t="s">
        <v>505</v>
      </c>
      <c r="N83" s="31" t="s">
        <v>477</v>
      </c>
      <c r="O83" s="52" t="s">
        <v>879</v>
      </c>
      <c r="P83" s="14">
        <v>584</v>
      </c>
      <c r="Q83" s="42">
        <v>58</v>
      </c>
    </row>
    <row r="84" spans="1:17" ht="15.75" thickBot="1">
      <c r="A84" s="4" t="s">
        <v>386</v>
      </c>
      <c r="B84" s="6" t="s">
        <v>229</v>
      </c>
      <c r="C84" t="s">
        <v>880</v>
      </c>
      <c r="D84" t="s">
        <v>657</v>
      </c>
      <c r="E84" t="s">
        <v>820</v>
      </c>
      <c r="F84" t="s">
        <v>633</v>
      </c>
      <c r="G84" t="s">
        <v>881</v>
      </c>
      <c r="H84" t="s">
        <v>567</v>
      </c>
      <c r="I84" t="s">
        <v>786</v>
      </c>
      <c r="J84" t="s">
        <v>474</v>
      </c>
      <c r="K84" t="s">
        <v>504</v>
      </c>
      <c r="L84" t="s">
        <v>475</v>
      </c>
      <c r="M84" t="s">
        <v>546</v>
      </c>
      <c r="N84" t="s">
        <v>136</v>
      </c>
      <c r="O84" s="26" t="s">
        <v>136</v>
      </c>
      <c r="P84" s="20">
        <v>778</v>
      </c>
      <c r="Q84" s="42">
        <v>77</v>
      </c>
    </row>
    <row r="85" spans="1:17" ht="15.75" thickBot="1">
      <c r="A85" s="4" t="s">
        <v>387</v>
      </c>
      <c r="B85" s="4" t="s">
        <v>230</v>
      </c>
      <c r="C85" t="s">
        <v>763</v>
      </c>
      <c r="D85" t="s">
        <v>701</v>
      </c>
      <c r="E85" t="s">
        <v>882</v>
      </c>
      <c r="F85" t="s">
        <v>883</v>
      </c>
      <c r="G85" t="s">
        <v>884</v>
      </c>
      <c r="H85" t="s">
        <v>865</v>
      </c>
      <c r="I85" t="s">
        <v>885</v>
      </c>
      <c r="J85" t="s">
        <v>474</v>
      </c>
      <c r="K85" t="s">
        <v>476</v>
      </c>
      <c r="L85" t="s">
        <v>504</v>
      </c>
      <c r="M85" t="s">
        <v>546</v>
      </c>
      <c r="N85" t="s">
        <v>136</v>
      </c>
      <c r="O85" s="26" t="s">
        <v>136</v>
      </c>
      <c r="P85" s="20">
        <v>736</v>
      </c>
      <c r="Q85" s="42">
        <v>73</v>
      </c>
    </row>
    <row r="86" spans="1:17" ht="25.5" thickBot="1">
      <c r="A86" s="4" t="s">
        <v>388</v>
      </c>
      <c r="B86" s="6" t="s">
        <v>231</v>
      </c>
      <c r="C86" t="s">
        <v>527</v>
      </c>
      <c r="D86" t="s">
        <v>532</v>
      </c>
      <c r="E86" t="s">
        <v>886</v>
      </c>
      <c r="F86" t="s">
        <v>627</v>
      </c>
      <c r="G86" t="s">
        <v>534</v>
      </c>
      <c r="H86" t="s">
        <v>887</v>
      </c>
      <c r="I86" t="s">
        <v>888</v>
      </c>
      <c r="J86" t="s">
        <v>474</v>
      </c>
      <c r="K86" t="s">
        <v>475</v>
      </c>
      <c r="L86" t="s">
        <v>475</v>
      </c>
      <c r="M86" t="s">
        <v>513</v>
      </c>
      <c r="N86" s="31" t="s">
        <v>477</v>
      </c>
      <c r="O86" s="52" t="s">
        <v>879</v>
      </c>
      <c r="P86" s="14">
        <v>584</v>
      </c>
      <c r="Q86" s="42">
        <v>58</v>
      </c>
    </row>
    <row r="87" spans="1:17" ht="15.75" thickBot="1">
      <c r="A87" s="4" t="s">
        <v>389</v>
      </c>
      <c r="B87" s="4" t="s">
        <v>232</v>
      </c>
      <c r="C87" t="s">
        <v>697</v>
      </c>
      <c r="D87" t="s">
        <v>664</v>
      </c>
      <c r="E87" t="s">
        <v>889</v>
      </c>
      <c r="F87" t="s">
        <v>890</v>
      </c>
      <c r="G87" t="s">
        <v>656</v>
      </c>
      <c r="H87" t="s">
        <v>571</v>
      </c>
      <c r="I87" t="s">
        <v>891</v>
      </c>
      <c r="J87" t="s">
        <v>580</v>
      </c>
      <c r="K87" t="s">
        <v>554</v>
      </c>
      <c r="L87" t="s">
        <v>554</v>
      </c>
      <c r="M87" t="s">
        <v>578</v>
      </c>
      <c r="N87" s="31" t="s">
        <v>477</v>
      </c>
      <c r="O87" s="53" t="s">
        <v>731</v>
      </c>
      <c r="P87" s="14">
        <v>618</v>
      </c>
      <c r="Q87" s="42">
        <v>61</v>
      </c>
    </row>
    <row r="88" spans="1:17" ht="15.75" thickBot="1">
      <c r="A88" s="4" t="s">
        <v>390</v>
      </c>
      <c r="B88" s="4" t="s">
        <v>233</v>
      </c>
      <c r="C88" t="s">
        <v>540</v>
      </c>
      <c r="D88" t="s">
        <v>702</v>
      </c>
      <c r="E88" t="s">
        <v>892</v>
      </c>
      <c r="F88" t="s">
        <v>521</v>
      </c>
      <c r="G88" t="s">
        <v>893</v>
      </c>
      <c r="H88" t="s">
        <v>894</v>
      </c>
      <c r="I88" t="s">
        <v>895</v>
      </c>
      <c r="J88" t="s">
        <v>525</v>
      </c>
      <c r="K88" t="s">
        <v>504</v>
      </c>
      <c r="L88" t="s">
        <v>504</v>
      </c>
      <c r="M88" t="s">
        <v>896</v>
      </c>
      <c r="N88" s="31" t="s">
        <v>477</v>
      </c>
      <c r="O88" s="53" t="s">
        <v>798</v>
      </c>
      <c r="P88" s="20">
        <v>759</v>
      </c>
      <c r="Q88" s="42">
        <v>75</v>
      </c>
    </row>
    <row r="89" spans="1:17" ht="15.75" thickBot="1">
      <c r="A89" s="4" t="s">
        <v>391</v>
      </c>
      <c r="B89" s="4" t="s">
        <v>234</v>
      </c>
      <c r="C89" t="s">
        <v>479</v>
      </c>
      <c r="D89" t="s">
        <v>516</v>
      </c>
      <c r="E89" t="s">
        <v>468</v>
      </c>
      <c r="F89" t="s">
        <v>615</v>
      </c>
      <c r="G89" t="s">
        <v>694</v>
      </c>
      <c r="H89" t="s">
        <v>897</v>
      </c>
      <c r="I89" t="s">
        <v>624</v>
      </c>
      <c r="J89" t="s">
        <v>474</v>
      </c>
      <c r="K89" t="s">
        <v>554</v>
      </c>
      <c r="L89" t="s">
        <v>475</v>
      </c>
      <c r="M89" t="s">
        <v>546</v>
      </c>
      <c r="N89" t="s">
        <v>136</v>
      </c>
      <c r="O89" s="26" t="s">
        <v>136</v>
      </c>
      <c r="P89" s="20">
        <v>771</v>
      </c>
      <c r="Q89" s="42">
        <v>77</v>
      </c>
    </row>
    <row r="90" spans="1:17" ht="15.75" thickBot="1">
      <c r="A90" s="4" t="s">
        <v>392</v>
      </c>
      <c r="B90" s="4" t="s">
        <v>235</v>
      </c>
      <c r="C90" t="s">
        <v>898</v>
      </c>
      <c r="D90" t="s">
        <v>899</v>
      </c>
      <c r="E90" t="s">
        <v>593</v>
      </c>
      <c r="F90" t="s">
        <v>665</v>
      </c>
      <c r="G90" t="s">
        <v>900</v>
      </c>
      <c r="H90" t="s">
        <v>889</v>
      </c>
      <c r="I90" t="s">
        <v>536</v>
      </c>
      <c r="J90" t="s">
        <v>493</v>
      </c>
      <c r="K90" t="s">
        <v>554</v>
      </c>
      <c r="L90" t="s">
        <v>475</v>
      </c>
      <c r="M90" t="s">
        <v>495</v>
      </c>
      <c r="N90" s="31" t="s">
        <v>477</v>
      </c>
      <c r="O90" s="34" t="s">
        <v>901</v>
      </c>
      <c r="P90" s="20">
        <v>599</v>
      </c>
      <c r="Q90" s="42">
        <v>59</v>
      </c>
    </row>
    <row r="91" spans="1:17" ht="15.75" thickBot="1">
      <c r="A91" s="4" t="s">
        <v>393</v>
      </c>
      <c r="B91" s="4" t="s">
        <v>236</v>
      </c>
      <c r="C91" t="s">
        <v>478</v>
      </c>
      <c r="D91" t="s">
        <v>902</v>
      </c>
      <c r="E91" t="s">
        <v>903</v>
      </c>
      <c r="F91" t="s">
        <v>854</v>
      </c>
      <c r="G91" t="s">
        <v>559</v>
      </c>
      <c r="H91" t="s">
        <v>904</v>
      </c>
      <c r="I91" t="s">
        <v>751</v>
      </c>
      <c r="J91" t="s">
        <v>513</v>
      </c>
      <c r="K91" t="s">
        <v>475</v>
      </c>
      <c r="L91" t="s">
        <v>554</v>
      </c>
      <c r="M91" t="s">
        <v>546</v>
      </c>
      <c r="N91" t="s">
        <v>136</v>
      </c>
      <c r="O91" s="26" t="s">
        <v>136</v>
      </c>
      <c r="P91" s="20">
        <v>838</v>
      </c>
      <c r="Q91" s="42">
        <v>83</v>
      </c>
    </row>
    <row r="92" spans="1:17" ht="15.75" thickBot="1">
      <c r="A92" s="4" t="s">
        <v>394</v>
      </c>
      <c r="B92" s="6" t="s">
        <v>237</v>
      </c>
      <c r="C92" t="s">
        <v>710</v>
      </c>
      <c r="D92" t="s">
        <v>724</v>
      </c>
      <c r="E92" t="s">
        <v>775</v>
      </c>
      <c r="F92" t="s">
        <v>630</v>
      </c>
      <c r="G92" t="s">
        <v>656</v>
      </c>
      <c r="H92" t="s">
        <v>905</v>
      </c>
      <c r="I92" t="s">
        <v>502</v>
      </c>
      <c r="J92" t="s">
        <v>650</v>
      </c>
      <c r="K92" t="s">
        <v>475</v>
      </c>
      <c r="L92" t="s">
        <v>475</v>
      </c>
      <c r="M92" t="s">
        <v>769</v>
      </c>
      <c r="N92" s="31" t="s">
        <v>477</v>
      </c>
      <c r="O92" s="34" t="s">
        <v>906</v>
      </c>
      <c r="P92" s="14">
        <v>582</v>
      </c>
      <c r="Q92" s="42">
        <v>58</v>
      </c>
    </row>
    <row r="93" spans="1:17" ht="15.75" thickBot="1">
      <c r="A93" s="4" t="s">
        <v>395</v>
      </c>
      <c r="B93" s="6" t="s">
        <v>238</v>
      </c>
      <c r="C93" t="s">
        <v>517</v>
      </c>
      <c r="D93" t="s">
        <v>664</v>
      </c>
      <c r="E93" t="s">
        <v>907</v>
      </c>
      <c r="F93" t="s">
        <v>674</v>
      </c>
      <c r="G93" t="s">
        <v>702</v>
      </c>
      <c r="H93" t="s">
        <v>908</v>
      </c>
      <c r="I93" t="s">
        <v>909</v>
      </c>
      <c r="J93" t="s">
        <v>580</v>
      </c>
      <c r="K93" t="s">
        <v>554</v>
      </c>
      <c r="L93" t="s">
        <v>476</v>
      </c>
      <c r="M93" t="s">
        <v>578</v>
      </c>
      <c r="N93" s="31" t="s">
        <v>477</v>
      </c>
      <c r="O93" s="36" t="s">
        <v>757</v>
      </c>
      <c r="P93" s="14">
        <v>663</v>
      </c>
      <c r="Q93" s="42">
        <v>66</v>
      </c>
    </row>
    <row r="94" spans="1:17" ht="15.75" thickBot="1">
      <c r="A94" s="4" t="s">
        <v>396</v>
      </c>
      <c r="B94" s="6" t="s">
        <v>239</v>
      </c>
      <c r="C94" t="s">
        <v>616</v>
      </c>
      <c r="D94" t="s">
        <v>481</v>
      </c>
      <c r="E94" t="s">
        <v>910</v>
      </c>
      <c r="F94" t="s">
        <v>587</v>
      </c>
      <c r="G94" t="s">
        <v>772</v>
      </c>
      <c r="H94" t="s">
        <v>470</v>
      </c>
      <c r="I94" t="s">
        <v>513</v>
      </c>
      <c r="J94" t="s">
        <v>525</v>
      </c>
      <c r="K94" t="s">
        <v>504</v>
      </c>
      <c r="L94" t="s">
        <v>504</v>
      </c>
      <c r="M94" t="s">
        <v>525</v>
      </c>
      <c r="N94" t="s">
        <v>136</v>
      </c>
      <c r="O94" s="26" t="s">
        <v>136</v>
      </c>
      <c r="P94" s="14">
        <v>825</v>
      </c>
      <c r="Q94" s="42">
        <v>82</v>
      </c>
    </row>
    <row r="95" spans="1:17" ht="15.75" thickBot="1">
      <c r="A95" s="4" t="s">
        <v>397</v>
      </c>
      <c r="B95" s="4" t="s">
        <v>240</v>
      </c>
      <c r="C95" t="s">
        <v>520</v>
      </c>
      <c r="D95" t="s">
        <v>521</v>
      </c>
      <c r="E95" t="s">
        <v>781</v>
      </c>
      <c r="F95" t="s">
        <v>911</v>
      </c>
      <c r="G95" t="s">
        <v>524</v>
      </c>
      <c r="H95" t="s">
        <v>912</v>
      </c>
      <c r="I95" t="s">
        <v>729</v>
      </c>
      <c r="J95" t="s">
        <v>525</v>
      </c>
      <c r="K95" t="s">
        <v>504</v>
      </c>
      <c r="L95" t="s">
        <v>504</v>
      </c>
      <c r="M95" t="s">
        <v>525</v>
      </c>
      <c r="N95" t="s">
        <v>136</v>
      </c>
      <c r="O95" s="26" t="s">
        <v>136</v>
      </c>
      <c r="P95" s="20">
        <v>960</v>
      </c>
      <c r="Q95" s="42">
        <v>96</v>
      </c>
    </row>
    <row r="96" spans="1:17">
      <c r="A96" s="4" t="s">
        <v>398</v>
      </c>
      <c r="B96" s="4" t="s">
        <v>241</v>
      </c>
      <c r="C96" t="s">
        <v>506</v>
      </c>
      <c r="D96" t="s">
        <v>623</v>
      </c>
      <c r="E96" t="s">
        <v>522</v>
      </c>
      <c r="F96" t="s">
        <v>521</v>
      </c>
      <c r="G96" t="s">
        <v>911</v>
      </c>
      <c r="H96" t="s">
        <v>913</v>
      </c>
      <c r="I96" t="s">
        <v>553</v>
      </c>
      <c r="J96" t="s">
        <v>525</v>
      </c>
      <c r="K96" t="s">
        <v>504</v>
      </c>
      <c r="L96" t="s">
        <v>475</v>
      </c>
      <c r="M96" t="s">
        <v>525</v>
      </c>
      <c r="N96" t="s">
        <v>136</v>
      </c>
      <c r="O96" s="26" t="s">
        <v>136</v>
      </c>
      <c r="P96" s="14">
        <v>937</v>
      </c>
      <c r="Q96" s="42">
        <v>93</v>
      </c>
    </row>
    <row r="97" spans="1:17" ht="15.75" thickBot="1">
      <c r="A97" s="4" t="s">
        <v>399</v>
      </c>
      <c r="B97" s="4" t="s">
        <v>242</v>
      </c>
      <c r="C97" t="s">
        <v>523</v>
      </c>
      <c r="D97" t="s">
        <v>524</v>
      </c>
      <c r="E97" t="s">
        <v>857</v>
      </c>
      <c r="F97" t="s">
        <v>522</v>
      </c>
      <c r="G97" t="s">
        <v>911</v>
      </c>
      <c r="H97" t="s">
        <v>914</v>
      </c>
      <c r="I97" t="s">
        <v>525</v>
      </c>
      <c r="J97" t="s">
        <v>525</v>
      </c>
      <c r="K97" t="s">
        <v>504</v>
      </c>
      <c r="L97" t="s">
        <v>476</v>
      </c>
      <c r="M97" t="s">
        <v>525</v>
      </c>
      <c r="N97" t="s">
        <v>136</v>
      </c>
      <c r="O97" s="26" t="s">
        <v>136</v>
      </c>
      <c r="P97" s="14">
        <v>964</v>
      </c>
      <c r="Q97" s="42">
        <v>96</v>
      </c>
    </row>
    <row r="98" spans="1:17" ht="15.75" thickBot="1">
      <c r="A98" s="4" t="s">
        <v>400</v>
      </c>
      <c r="B98" s="4" t="s">
        <v>243</v>
      </c>
      <c r="C98" t="s">
        <v>915</v>
      </c>
      <c r="D98" t="s">
        <v>916</v>
      </c>
      <c r="E98" t="s">
        <v>917</v>
      </c>
      <c r="F98" t="s">
        <v>627</v>
      </c>
      <c r="G98" t="s">
        <v>918</v>
      </c>
      <c r="H98" t="s">
        <v>490</v>
      </c>
      <c r="I98" t="s">
        <v>919</v>
      </c>
      <c r="J98" t="s">
        <v>495</v>
      </c>
      <c r="K98" t="s">
        <v>643</v>
      </c>
      <c r="L98" t="s">
        <v>920</v>
      </c>
      <c r="M98" t="s">
        <v>921</v>
      </c>
      <c r="N98" s="31" t="s">
        <v>477</v>
      </c>
      <c r="O98" s="34" t="s">
        <v>922</v>
      </c>
      <c r="P98" s="20">
        <v>577</v>
      </c>
      <c r="Q98" s="42">
        <v>57</v>
      </c>
    </row>
    <row r="99" spans="1:17" ht="25.5" thickBot="1">
      <c r="A99" s="4" t="s">
        <v>401</v>
      </c>
      <c r="B99" s="6" t="s">
        <v>244</v>
      </c>
      <c r="C99" t="s">
        <v>910</v>
      </c>
      <c r="D99" t="s">
        <v>923</v>
      </c>
      <c r="E99" t="s">
        <v>924</v>
      </c>
      <c r="F99" t="s">
        <v>925</v>
      </c>
      <c r="G99" t="s">
        <v>884</v>
      </c>
      <c r="H99" t="s">
        <v>926</v>
      </c>
      <c r="I99" t="s">
        <v>513</v>
      </c>
      <c r="J99" t="s">
        <v>578</v>
      </c>
      <c r="K99" t="s">
        <v>554</v>
      </c>
      <c r="L99" t="s">
        <v>554</v>
      </c>
      <c r="M99" t="s">
        <v>605</v>
      </c>
      <c r="N99" s="31" t="s">
        <v>477</v>
      </c>
      <c r="O99" s="32" t="s">
        <v>798</v>
      </c>
      <c r="P99" s="20">
        <v>709</v>
      </c>
      <c r="Q99" s="42">
        <v>70</v>
      </c>
    </row>
    <row r="100" spans="1:17">
      <c r="A100" s="4" t="s">
        <v>402</v>
      </c>
      <c r="B100" s="4" t="s">
        <v>245</v>
      </c>
      <c r="C100" t="s">
        <v>515</v>
      </c>
      <c r="D100" t="s">
        <v>664</v>
      </c>
      <c r="E100" t="s">
        <v>669</v>
      </c>
      <c r="F100" t="s">
        <v>927</v>
      </c>
      <c r="G100" t="s">
        <v>928</v>
      </c>
      <c r="H100" t="s">
        <v>582</v>
      </c>
      <c r="I100" t="s">
        <v>797</v>
      </c>
      <c r="J100" t="s">
        <v>505</v>
      </c>
      <c r="K100" t="s">
        <v>554</v>
      </c>
      <c r="L100" t="s">
        <v>554</v>
      </c>
      <c r="M100" t="s">
        <v>505</v>
      </c>
      <c r="N100" s="31" t="s">
        <v>477</v>
      </c>
      <c r="O100" s="32" t="s">
        <v>856</v>
      </c>
      <c r="P100" s="14">
        <v>620</v>
      </c>
      <c r="Q100" s="42">
        <v>62</v>
      </c>
    </row>
    <row r="101" spans="1:17">
      <c r="A101" s="4" t="s">
        <v>403</v>
      </c>
      <c r="B101" s="4" t="s">
        <v>246</v>
      </c>
      <c r="C101" t="s">
        <v>644</v>
      </c>
      <c r="D101" t="s">
        <v>543</v>
      </c>
      <c r="E101" t="s">
        <v>929</v>
      </c>
      <c r="F101" t="s">
        <v>800</v>
      </c>
      <c r="G101" t="s">
        <v>930</v>
      </c>
      <c r="H101" t="s">
        <v>931</v>
      </c>
      <c r="I101" t="s">
        <v>729</v>
      </c>
      <c r="J101" t="s">
        <v>546</v>
      </c>
      <c r="K101" t="s">
        <v>476</v>
      </c>
      <c r="L101" t="s">
        <v>475</v>
      </c>
      <c r="M101" t="s">
        <v>546</v>
      </c>
      <c r="N101" t="s">
        <v>136</v>
      </c>
      <c r="O101" s="26" t="s">
        <v>136</v>
      </c>
      <c r="P101" s="14">
        <v>839</v>
      </c>
      <c r="Q101" s="42">
        <v>83</v>
      </c>
    </row>
    <row r="102" spans="1:17" ht="15.75" thickBot="1">
      <c r="A102" s="4" t="s">
        <v>404</v>
      </c>
      <c r="B102" s="4" t="s">
        <v>247</v>
      </c>
      <c r="C102" t="s">
        <v>668</v>
      </c>
      <c r="D102" t="s">
        <v>499</v>
      </c>
      <c r="E102" t="s">
        <v>866</v>
      </c>
      <c r="F102" t="s">
        <v>695</v>
      </c>
      <c r="G102" t="s">
        <v>932</v>
      </c>
      <c r="H102" t="s">
        <v>933</v>
      </c>
      <c r="I102" t="s">
        <v>545</v>
      </c>
      <c r="J102" t="s">
        <v>578</v>
      </c>
      <c r="K102" t="s">
        <v>475</v>
      </c>
      <c r="L102" t="s">
        <v>475</v>
      </c>
      <c r="M102" t="s">
        <v>580</v>
      </c>
      <c r="N102" t="s">
        <v>136</v>
      </c>
      <c r="O102" s="26" t="s">
        <v>136</v>
      </c>
      <c r="P102" s="14">
        <v>784</v>
      </c>
      <c r="Q102" s="42">
        <v>78</v>
      </c>
    </row>
    <row r="103" spans="1:17" ht="15.75" thickBot="1">
      <c r="A103" s="4" t="s">
        <v>406</v>
      </c>
      <c r="B103" s="4" t="s">
        <v>248</v>
      </c>
      <c r="C103" t="s">
        <v>725</v>
      </c>
      <c r="D103" t="s">
        <v>830</v>
      </c>
      <c r="E103" t="s">
        <v>575</v>
      </c>
      <c r="F103" t="s">
        <v>934</v>
      </c>
      <c r="G103" t="s">
        <v>935</v>
      </c>
      <c r="H103" t="s">
        <v>936</v>
      </c>
      <c r="I103" t="s">
        <v>937</v>
      </c>
      <c r="J103" t="s">
        <v>650</v>
      </c>
      <c r="K103" t="s">
        <v>554</v>
      </c>
      <c r="L103" t="s">
        <v>554</v>
      </c>
      <c r="M103" t="s">
        <v>650</v>
      </c>
      <c r="N103" s="31" t="s">
        <v>477</v>
      </c>
      <c r="O103" s="32" t="s">
        <v>731</v>
      </c>
      <c r="P103" s="20">
        <v>667</v>
      </c>
      <c r="Q103" s="42">
        <v>66</v>
      </c>
    </row>
    <row r="104" spans="1:17" ht="15.75" thickBot="1">
      <c r="A104" s="4" t="s">
        <v>407</v>
      </c>
      <c r="B104" s="4" t="s">
        <v>249</v>
      </c>
      <c r="C104" t="s">
        <v>800</v>
      </c>
      <c r="D104" t="s">
        <v>938</v>
      </c>
      <c r="E104" t="s">
        <v>939</v>
      </c>
      <c r="F104" t="s">
        <v>940</v>
      </c>
      <c r="G104" t="s">
        <v>615</v>
      </c>
      <c r="H104" t="s">
        <v>941</v>
      </c>
      <c r="I104" t="s">
        <v>942</v>
      </c>
      <c r="J104" t="s">
        <v>612</v>
      </c>
      <c r="K104" t="s">
        <v>475</v>
      </c>
      <c r="L104" t="s">
        <v>504</v>
      </c>
      <c r="M104" t="s">
        <v>650</v>
      </c>
      <c r="N104" s="31" t="s">
        <v>477</v>
      </c>
      <c r="O104" s="34" t="s">
        <v>943</v>
      </c>
      <c r="P104" s="20">
        <v>642</v>
      </c>
      <c r="Q104" s="42">
        <v>64</v>
      </c>
    </row>
    <row r="105" spans="1:17" ht="15.75" thickBot="1">
      <c r="A105" s="4" t="s">
        <v>408</v>
      </c>
      <c r="B105" s="4" t="s">
        <v>250</v>
      </c>
      <c r="C105" t="s">
        <v>478</v>
      </c>
      <c r="D105" t="s">
        <v>523</v>
      </c>
      <c r="E105" t="s">
        <v>520</v>
      </c>
      <c r="F105" t="s">
        <v>644</v>
      </c>
      <c r="G105" t="s">
        <v>944</v>
      </c>
      <c r="H105" t="s">
        <v>945</v>
      </c>
      <c r="I105" t="s">
        <v>942</v>
      </c>
      <c r="J105" t="s">
        <v>580</v>
      </c>
      <c r="K105" t="s">
        <v>504</v>
      </c>
      <c r="L105" t="s">
        <v>476</v>
      </c>
      <c r="M105" t="s">
        <v>578</v>
      </c>
      <c r="N105" t="s">
        <v>136</v>
      </c>
      <c r="O105" s="26" t="s">
        <v>136</v>
      </c>
      <c r="P105" s="20">
        <v>888</v>
      </c>
      <c r="Q105" s="42">
        <v>88</v>
      </c>
    </row>
    <row r="106" spans="1:17" ht="15.75" thickBot="1">
      <c r="A106" s="4" t="s">
        <v>409</v>
      </c>
      <c r="B106" s="4" t="s">
        <v>251</v>
      </c>
      <c r="C106" t="s">
        <v>946</v>
      </c>
      <c r="D106" t="s">
        <v>807</v>
      </c>
      <c r="E106" t="s">
        <v>947</v>
      </c>
      <c r="F106" t="s">
        <v>628</v>
      </c>
      <c r="G106" t="s">
        <v>621</v>
      </c>
      <c r="H106" t="s">
        <v>948</v>
      </c>
      <c r="I106" t="s">
        <v>513</v>
      </c>
      <c r="J106" t="s">
        <v>525</v>
      </c>
      <c r="K106" t="s">
        <v>476</v>
      </c>
      <c r="L106" t="s">
        <v>504</v>
      </c>
      <c r="M106" t="s">
        <v>525</v>
      </c>
      <c r="N106" t="s">
        <v>136</v>
      </c>
      <c r="O106" s="26" t="s">
        <v>136</v>
      </c>
      <c r="P106" s="14">
        <v>851</v>
      </c>
      <c r="Q106" s="42">
        <v>85</v>
      </c>
    </row>
    <row r="107" spans="1:17" ht="15.75" thickBot="1">
      <c r="A107" s="4" t="s">
        <v>410</v>
      </c>
      <c r="B107" s="4" t="s">
        <v>252</v>
      </c>
      <c r="C107" t="s">
        <v>949</v>
      </c>
      <c r="D107" t="s">
        <v>854</v>
      </c>
      <c r="E107" t="s">
        <v>692</v>
      </c>
      <c r="F107" t="s">
        <v>692</v>
      </c>
      <c r="G107" t="s">
        <v>782</v>
      </c>
      <c r="H107" t="s">
        <v>950</v>
      </c>
      <c r="I107" t="s">
        <v>553</v>
      </c>
      <c r="J107" t="s">
        <v>525</v>
      </c>
      <c r="K107" t="s">
        <v>476</v>
      </c>
      <c r="L107" t="s">
        <v>504</v>
      </c>
      <c r="M107" t="s">
        <v>525</v>
      </c>
      <c r="N107" t="s">
        <v>136</v>
      </c>
      <c r="O107" s="26" t="s">
        <v>136</v>
      </c>
      <c r="P107" s="20">
        <v>890</v>
      </c>
      <c r="Q107" s="42">
        <v>89</v>
      </c>
    </row>
    <row r="108" spans="1:17" ht="15.75" thickBot="1">
      <c r="A108" s="4" t="s">
        <v>411</v>
      </c>
      <c r="B108" s="4" t="s">
        <v>253</v>
      </c>
      <c r="C108" t="s">
        <v>517</v>
      </c>
      <c r="D108" t="s">
        <v>910</v>
      </c>
      <c r="E108" t="s">
        <v>951</v>
      </c>
      <c r="F108" t="s">
        <v>583</v>
      </c>
      <c r="G108" t="s">
        <v>799</v>
      </c>
      <c r="H108" t="s">
        <v>952</v>
      </c>
      <c r="I108" t="s">
        <v>855</v>
      </c>
      <c r="J108" t="s">
        <v>525</v>
      </c>
      <c r="K108" t="s">
        <v>475</v>
      </c>
      <c r="L108" t="s">
        <v>504</v>
      </c>
      <c r="M108" t="s">
        <v>525</v>
      </c>
      <c r="N108" s="31" t="s">
        <v>477</v>
      </c>
      <c r="O108" s="32" t="s">
        <v>798</v>
      </c>
      <c r="P108" s="20">
        <v>758</v>
      </c>
      <c r="Q108" s="42">
        <v>75</v>
      </c>
    </row>
    <row r="109" spans="1:17" ht="15.75" thickBot="1">
      <c r="A109" s="4" t="s">
        <v>412</v>
      </c>
      <c r="B109" s="4" t="s">
        <v>254</v>
      </c>
      <c r="C109" t="s">
        <v>771</v>
      </c>
      <c r="D109" t="s">
        <v>516</v>
      </c>
      <c r="E109" t="s">
        <v>953</v>
      </c>
      <c r="F109" t="s">
        <v>538</v>
      </c>
      <c r="G109" t="s">
        <v>954</v>
      </c>
      <c r="H109" t="s">
        <v>482</v>
      </c>
      <c r="I109" t="s">
        <v>838</v>
      </c>
      <c r="J109" t="s">
        <v>525</v>
      </c>
      <c r="K109" t="s">
        <v>955</v>
      </c>
      <c r="L109" t="s">
        <v>504</v>
      </c>
      <c r="M109" t="s">
        <v>525</v>
      </c>
      <c r="N109" s="31" t="s">
        <v>477</v>
      </c>
      <c r="O109" s="32" t="s">
        <v>956</v>
      </c>
      <c r="P109" s="20">
        <v>724</v>
      </c>
      <c r="Q109" s="42">
        <v>72</v>
      </c>
    </row>
    <row r="110" spans="1:17" ht="15.75" thickBot="1">
      <c r="A110" s="4" t="s">
        <v>413</v>
      </c>
      <c r="B110" s="4" t="s">
        <v>255</v>
      </c>
      <c r="C110" t="s">
        <v>957</v>
      </c>
      <c r="D110" t="s">
        <v>910</v>
      </c>
      <c r="E110" t="s">
        <v>701</v>
      </c>
      <c r="F110" t="s">
        <v>627</v>
      </c>
      <c r="G110" t="s">
        <v>958</v>
      </c>
      <c r="H110" t="s">
        <v>959</v>
      </c>
      <c r="I110" t="s">
        <v>960</v>
      </c>
      <c r="J110" t="s">
        <v>580</v>
      </c>
      <c r="K110" t="s">
        <v>554</v>
      </c>
      <c r="L110" t="s">
        <v>504</v>
      </c>
      <c r="M110" t="s">
        <v>578</v>
      </c>
      <c r="N110" t="s">
        <v>136</v>
      </c>
      <c r="O110" s="26" t="s">
        <v>136</v>
      </c>
      <c r="P110" s="20">
        <v>741</v>
      </c>
      <c r="Q110" s="42">
        <v>74</v>
      </c>
    </row>
    <row r="111" spans="1:17" ht="15.75" thickBot="1">
      <c r="A111" s="4" t="s">
        <v>414</v>
      </c>
      <c r="B111" s="4" t="s">
        <v>256</v>
      </c>
      <c r="C111" t="s">
        <v>763</v>
      </c>
      <c r="D111" t="s">
        <v>961</v>
      </c>
      <c r="E111" t="s">
        <v>730</v>
      </c>
      <c r="F111" t="s">
        <v>526</v>
      </c>
      <c r="G111" t="s">
        <v>962</v>
      </c>
      <c r="H111" t="s">
        <v>551</v>
      </c>
      <c r="I111" t="s">
        <v>729</v>
      </c>
      <c r="J111" t="s">
        <v>525</v>
      </c>
      <c r="K111" t="s">
        <v>504</v>
      </c>
      <c r="L111" t="s">
        <v>504</v>
      </c>
      <c r="M111" t="s">
        <v>525</v>
      </c>
      <c r="N111" t="s">
        <v>136</v>
      </c>
      <c r="O111" s="26" t="s">
        <v>136</v>
      </c>
      <c r="P111" s="20">
        <v>821</v>
      </c>
      <c r="Q111" s="42">
        <v>82</v>
      </c>
    </row>
    <row r="112" spans="1:17" ht="15.75" thickBot="1">
      <c r="A112" s="4" t="s">
        <v>415</v>
      </c>
      <c r="B112" s="6" t="s">
        <v>257</v>
      </c>
      <c r="C112" t="s">
        <v>663</v>
      </c>
      <c r="D112" t="s">
        <v>579</v>
      </c>
      <c r="E112" t="s">
        <v>963</v>
      </c>
      <c r="F112" t="s">
        <v>664</v>
      </c>
      <c r="G112" t="s">
        <v>631</v>
      </c>
      <c r="H112" t="s">
        <v>603</v>
      </c>
      <c r="I112" t="s">
        <v>964</v>
      </c>
      <c r="J112" t="s">
        <v>513</v>
      </c>
      <c r="K112" t="s">
        <v>554</v>
      </c>
      <c r="L112" t="s">
        <v>475</v>
      </c>
      <c r="M112" t="s">
        <v>474</v>
      </c>
      <c r="N112" s="31" t="s">
        <v>477</v>
      </c>
      <c r="O112" s="32" t="s">
        <v>856</v>
      </c>
      <c r="P112" s="20">
        <v>659</v>
      </c>
      <c r="Q112" s="42">
        <v>65</v>
      </c>
    </row>
    <row r="113" spans="1:17" ht="15.75" thickBot="1">
      <c r="A113" s="4" t="s">
        <v>416</v>
      </c>
      <c r="B113" s="6" t="s">
        <v>258</v>
      </c>
      <c r="C113" t="s">
        <v>959</v>
      </c>
      <c r="D113" t="s">
        <v>965</v>
      </c>
      <c r="E113" t="s">
        <v>830</v>
      </c>
      <c r="F113" t="s">
        <v>966</v>
      </c>
      <c r="G113" t="s">
        <v>609</v>
      </c>
      <c r="H113" t="s">
        <v>967</v>
      </c>
      <c r="I113" t="s">
        <v>605</v>
      </c>
      <c r="J113" t="s">
        <v>546</v>
      </c>
      <c r="K113" t="s">
        <v>475</v>
      </c>
      <c r="L113" t="s">
        <v>504</v>
      </c>
      <c r="M113" t="s">
        <v>546</v>
      </c>
      <c r="N113" s="31" t="s">
        <v>477</v>
      </c>
      <c r="O113" s="32" t="s">
        <v>968</v>
      </c>
      <c r="P113" s="20">
        <v>740</v>
      </c>
      <c r="Q113" s="42">
        <v>74</v>
      </c>
    </row>
    <row r="114" spans="1:17" ht="15.75" thickBot="1">
      <c r="A114" s="4" t="s">
        <v>417</v>
      </c>
      <c r="B114" s="4" t="s">
        <v>259</v>
      </c>
      <c r="C114" t="s">
        <v>543</v>
      </c>
      <c r="D114" t="s">
        <v>773</v>
      </c>
      <c r="E114" t="s">
        <v>969</v>
      </c>
      <c r="F114" t="s">
        <v>621</v>
      </c>
      <c r="G114" t="s">
        <v>958</v>
      </c>
      <c r="H114" t="s">
        <v>970</v>
      </c>
      <c r="I114" t="s">
        <v>937</v>
      </c>
      <c r="J114" t="s">
        <v>545</v>
      </c>
      <c r="K114" t="s">
        <v>475</v>
      </c>
      <c r="L114" t="s">
        <v>476</v>
      </c>
      <c r="M114" t="s">
        <v>650</v>
      </c>
      <c r="N114" t="s">
        <v>136</v>
      </c>
      <c r="O114" s="26" t="s">
        <v>136</v>
      </c>
      <c r="P114" s="14">
        <v>860</v>
      </c>
      <c r="Q114" s="42">
        <v>86</v>
      </c>
    </row>
    <row r="115" spans="1:17" ht="15.75" thickBot="1">
      <c r="A115" s="4" t="s">
        <v>418</v>
      </c>
      <c r="B115" s="6" t="s">
        <v>260</v>
      </c>
      <c r="C115" t="s">
        <v>598</v>
      </c>
      <c r="D115" t="s">
        <v>971</v>
      </c>
      <c r="E115" t="s">
        <v>889</v>
      </c>
      <c r="F115" t="s">
        <v>726</v>
      </c>
      <c r="G115" t="s">
        <v>972</v>
      </c>
      <c r="H115" t="s">
        <v>973</v>
      </c>
      <c r="I115" t="s">
        <v>823</v>
      </c>
      <c r="J115" t="s">
        <v>691</v>
      </c>
      <c r="K115" t="s">
        <v>554</v>
      </c>
      <c r="L115" t="s">
        <v>475</v>
      </c>
      <c r="M115" t="s">
        <v>493</v>
      </c>
      <c r="N115" s="31" t="s">
        <v>477</v>
      </c>
      <c r="O115" s="34" t="s">
        <v>974</v>
      </c>
      <c r="P115" s="14">
        <v>561</v>
      </c>
      <c r="Q115" s="42">
        <v>56</v>
      </c>
    </row>
    <row r="116" spans="1:17" ht="15.75" thickBot="1">
      <c r="A116" s="4" t="s">
        <v>419</v>
      </c>
      <c r="B116" s="4" t="s">
        <v>261</v>
      </c>
      <c r="C116" t="s">
        <v>830</v>
      </c>
      <c r="D116" t="s">
        <v>975</v>
      </c>
      <c r="E116" t="s">
        <v>595</v>
      </c>
      <c r="F116" t="s">
        <v>472</v>
      </c>
      <c r="G116" t="s">
        <v>976</v>
      </c>
      <c r="H116" t="s">
        <v>977</v>
      </c>
      <c r="I116" t="s">
        <v>760</v>
      </c>
      <c r="J116" t="s">
        <v>493</v>
      </c>
      <c r="K116" t="s">
        <v>870</v>
      </c>
      <c r="L116" t="s">
        <v>475</v>
      </c>
      <c r="M116" t="s">
        <v>978</v>
      </c>
      <c r="N116" s="31" t="s">
        <v>477</v>
      </c>
      <c r="O116" s="34" t="s">
        <v>825</v>
      </c>
      <c r="P116" s="20">
        <v>504</v>
      </c>
      <c r="Q116" s="42">
        <v>50</v>
      </c>
    </row>
    <row r="117" spans="1:17" ht="15.75" thickBot="1">
      <c r="A117" s="4" t="s">
        <v>420</v>
      </c>
      <c r="B117" s="4" t="s">
        <v>262</v>
      </c>
      <c r="C117" t="s">
        <v>979</v>
      </c>
      <c r="D117" t="s">
        <v>478</v>
      </c>
      <c r="E117" t="s">
        <v>820</v>
      </c>
      <c r="F117" t="s">
        <v>980</v>
      </c>
      <c r="G117" t="s">
        <v>981</v>
      </c>
      <c r="H117" t="s">
        <v>982</v>
      </c>
      <c r="I117" t="s">
        <v>983</v>
      </c>
      <c r="J117" t="s">
        <v>474</v>
      </c>
      <c r="K117" t="s">
        <v>504</v>
      </c>
      <c r="L117" t="s">
        <v>476</v>
      </c>
      <c r="M117" t="s">
        <v>546</v>
      </c>
      <c r="N117" t="s">
        <v>136</v>
      </c>
      <c r="O117" s="26" t="s">
        <v>136</v>
      </c>
      <c r="P117" s="14">
        <v>856</v>
      </c>
      <c r="Q117" s="42">
        <v>85</v>
      </c>
    </row>
    <row r="118" spans="1:17" ht="15.75" thickBot="1">
      <c r="A118" s="4" t="s">
        <v>421</v>
      </c>
      <c r="B118" s="4" t="s">
        <v>263</v>
      </c>
      <c r="C118" t="s">
        <v>784</v>
      </c>
      <c r="D118" t="s">
        <v>902</v>
      </c>
      <c r="E118" t="s">
        <v>984</v>
      </c>
      <c r="F118" t="s">
        <v>985</v>
      </c>
      <c r="G118" t="s">
        <v>986</v>
      </c>
      <c r="H118" t="s">
        <v>987</v>
      </c>
      <c r="I118" t="s">
        <v>539</v>
      </c>
      <c r="J118" t="s">
        <v>493</v>
      </c>
      <c r="K118" t="s">
        <v>475</v>
      </c>
      <c r="L118" t="s">
        <v>554</v>
      </c>
      <c r="M118" t="s">
        <v>691</v>
      </c>
      <c r="N118" s="31" t="s">
        <v>477</v>
      </c>
      <c r="O118" s="32" t="s">
        <v>856</v>
      </c>
      <c r="P118" s="20">
        <v>665</v>
      </c>
      <c r="Q118" s="42">
        <v>66</v>
      </c>
    </row>
    <row r="119" spans="1:17">
      <c r="A119" s="4" t="s">
        <v>422</v>
      </c>
      <c r="B119" s="4" t="s">
        <v>264</v>
      </c>
      <c r="C119" t="s">
        <v>863</v>
      </c>
      <c r="D119" t="s">
        <v>980</v>
      </c>
      <c r="E119" t="s">
        <v>784</v>
      </c>
      <c r="F119" t="s">
        <v>988</v>
      </c>
      <c r="G119" t="s">
        <v>806</v>
      </c>
      <c r="H119" t="s">
        <v>496</v>
      </c>
      <c r="I119" t="s">
        <v>786</v>
      </c>
      <c r="J119" t="s">
        <v>525</v>
      </c>
      <c r="K119" t="s">
        <v>504</v>
      </c>
      <c r="L119" t="s">
        <v>504</v>
      </c>
      <c r="M119" t="s">
        <v>525</v>
      </c>
      <c r="N119" t="s">
        <v>136</v>
      </c>
      <c r="O119" s="26" t="s">
        <v>136</v>
      </c>
      <c r="P119" s="14">
        <v>835</v>
      </c>
      <c r="Q119" s="42">
        <v>83</v>
      </c>
    </row>
    <row r="120" spans="1:17" ht="15.75" thickBot="1">
      <c r="A120" s="4" t="s">
        <v>423</v>
      </c>
      <c r="B120" s="4" t="s">
        <v>265</v>
      </c>
      <c r="C120" t="s">
        <v>517</v>
      </c>
      <c r="D120" t="s">
        <v>861</v>
      </c>
      <c r="E120" t="s">
        <v>989</v>
      </c>
      <c r="F120" t="s">
        <v>524</v>
      </c>
      <c r="G120" t="s">
        <v>931</v>
      </c>
      <c r="H120" t="s">
        <v>990</v>
      </c>
      <c r="I120" t="s">
        <v>525</v>
      </c>
      <c r="J120" t="s">
        <v>525</v>
      </c>
      <c r="K120" t="s">
        <v>476</v>
      </c>
      <c r="L120" t="s">
        <v>504</v>
      </c>
      <c r="M120" t="s">
        <v>525</v>
      </c>
      <c r="N120" t="s">
        <v>136</v>
      </c>
      <c r="O120" s="26" t="s">
        <v>136</v>
      </c>
      <c r="P120" s="14">
        <v>917</v>
      </c>
      <c r="Q120" s="42">
        <v>91</v>
      </c>
    </row>
    <row r="121" spans="1:17" ht="15.75" thickBot="1">
      <c r="A121" s="4" t="s">
        <v>424</v>
      </c>
      <c r="B121" s="4" t="s">
        <v>266</v>
      </c>
      <c r="C121" t="s">
        <v>800</v>
      </c>
      <c r="D121" t="s">
        <v>531</v>
      </c>
      <c r="E121" t="s">
        <v>991</v>
      </c>
      <c r="F121" t="s">
        <v>992</v>
      </c>
      <c r="G121" t="s">
        <v>898</v>
      </c>
      <c r="H121" t="s">
        <v>993</v>
      </c>
      <c r="I121" t="s">
        <v>994</v>
      </c>
      <c r="J121" t="s">
        <v>650</v>
      </c>
      <c r="K121" t="s">
        <v>475</v>
      </c>
      <c r="L121" t="s">
        <v>554</v>
      </c>
      <c r="M121" t="s">
        <v>612</v>
      </c>
      <c r="N121" s="31" t="s">
        <v>477</v>
      </c>
      <c r="O121" s="34" t="s">
        <v>825</v>
      </c>
      <c r="P121" s="20">
        <v>579</v>
      </c>
      <c r="Q121" s="42">
        <v>57</v>
      </c>
    </row>
    <row r="122" spans="1:17" ht="15.75" thickBot="1">
      <c r="A122" s="4" t="s">
        <v>425</v>
      </c>
      <c r="B122" s="4" t="s">
        <v>267</v>
      </c>
      <c r="C122" t="s">
        <v>633</v>
      </c>
      <c r="D122" t="s">
        <v>810</v>
      </c>
      <c r="E122" t="s">
        <v>995</v>
      </c>
      <c r="F122" t="s">
        <v>549</v>
      </c>
      <c r="G122" t="s">
        <v>996</v>
      </c>
      <c r="H122" t="s">
        <v>696</v>
      </c>
      <c r="I122" t="s">
        <v>997</v>
      </c>
      <c r="J122" t="s">
        <v>578</v>
      </c>
      <c r="K122" t="s">
        <v>554</v>
      </c>
      <c r="L122" t="s">
        <v>475</v>
      </c>
      <c r="M122" t="s">
        <v>605</v>
      </c>
      <c r="N122" s="31" t="s">
        <v>477</v>
      </c>
      <c r="O122" s="36" t="s">
        <v>673</v>
      </c>
      <c r="P122" s="20">
        <v>645</v>
      </c>
      <c r="Q122" s="42">
        <v>64</v>
      </c>
    </row>
    <row r="123" spans="1:17">
      <c r="A123" s="4" t="s">
        <v>426</v>
      </c>
      <c r="B123" s="4" t="s">
        <v>268</v>
      </c>
      <c r="C123" t="s">
        <v>820</v>
      </c>
      <c r="D123" t="s">
        <v>845</v>
      </c>
      <c r="E123" t="s">
        <v>998</v>
      </c>
      <c r="F123" t="s">
        <v>999</v>
      </c>
      <c r="G123" t="s">
        <v>479</v>
      </c>
      <c r="H123" t="s">
        <v>1000</v>
      </c>
      <c r="I123" t="s">
        <v>513</v>
      </c>
      <c r="J123" t="s">
        <v>474</v>
      </c>
      <c r="K123" t="s">
        <v>475</v>
      </c>
      <c r="L123" t="s">
        <v>475</v>
      </c>
      <c r="M123" t="s">
        <v>513</v>
      </c>
      <c r="N123" t="s">
        <v>136</v>
      </c>
      <c r="O123" s="26" t="s">
        <v>136</v>
      </c>
      <c r="P123" s="14">
        <v>735</v>
      </c>
      <c r="Q123" s="42">
        <v>73</v>
      </c>
    </row>
    <row r="124" spans="1:17">
      <c r="A124" s="4" t="s">
        <v>427</v>
      </c>
      <c r="B124" s="4" t="s">
        <v>269</v>
      </c>
      <c r="C124" t="s">
        <v>1001</v>
      </c>
      <c r="D124" t="s">
        <v>544</v>
      </c>
      <c r="E124" t="s">
        <v>468</v>
      </c>
      <c r="F124" t="s">
        <v>830</v>
      </c>
      <c r="G124" t="s">
        <v>659</v>
      </c>
      <c r="H124" t="s">
        <v>1002</v>
      </c>
      <c r="I124" t="s">
        <v>611</v>
      </c>
      <c r="J124" t="s">
        <v>474</v>
      </c>
      <c r="K124" t="s">
        <v>475</v>
      </c>
      <c r="L124" t="s">
        <v>504</v>
      </c>
      <c r="M124" t="s">
        <v>546</v>
      </c>
      <c r="N124" t="s">
        <v>136</v>
      </c>
      <c r="O124" s="26" t="s">
        <v>136</v>
      </c>
      <c r="P124" s="14">
        <v>675</v>
      </c>
      <c r="Q124" s="42">
        <v>67</v>
      </c>
    </row>
    <row r="125" spans="1:17">
      <c r="A125" s="4" t="s">
        <v>428</v>
      </c>
      <c r="B125" s="4" t="s">
        <v>270</v>
      </c>
      <c r="C125" t="s">
        <v>547</v>
      </c>
      <c r="D125" t="s">
        <v>819</v>
      </c>
      <c r="E125" t="s">
        <v>1003</v>
      </c>
      <c r="F125" t="s">
        <v>692</v>
      </c>
      <c r="G125" t="s">
        <v>674</v>
      </c>
      <c r="H125" t="s">
        <v>820</v>
      </c>
      <c r="I125" t="s">
        <v>729</v>
      </c>
      <c r="J125" t="s">
        <v>525</v>
      </c>
      <c r="K125" t="s">
        <v>476</v>
      </c>
      <c r="L125" t="s">
        <v>504</v>
      </c>
      <c r="M125" t="s">
        <v>525</v>
      </c>
      <c r="N125" t="s">
        <v>136</v>
      </c>
      <c r="O125" s="26" t="s">
        <v>136</v>
      </c>
      <c r="P125" s="14">
        <v>840</v>
      </c>
      <c r="Q125" s="42">
        <v>84</v>
      </c>
    </row>
    <row r="126" spans="1:17" ht="15.75" thickBot="1">
      <c r="A126" s="4" t="s">
        <v>429</v>
      </c>
      <c r="B126" s="4" t="s">
        <v>271</v>
      </c>
      <c r="C126" t="s">
        <v>567</v>
      </c>
      <c r="D126" t="s">
        <v>831</v>
      </c>
      <c r="E126" t="s">
        <v>637</v>
      </c>
      <c r="F126" t="s">
        <v>1004</v>
      </c>
      <c r="G126" t="s">
        <v>592</v>
      </c>
      <c r="H126" t="s">
        <v>1005</v>
      </c>
      <c r="I126" t="s">
        <v>1006</v>
      </c>
      <c r="J126" t="s">
        <v>580</v>
      </c>
      <c r="K126" t="s">
        <v>554</v>
      </c>
      <c r="L126" t="s">
        <v>475</v>
      </c>
      <c r="M126" t="s">
        <v>596</v>
      </c>
      <c r="N126" s="31" t="s">
        <v>477</v>
      </c>
      <c r="O126" s="34" t="s">
        <v>762</v>
      </c>
      <c r="P126" s="14">
        <v>547</v>
      </c>
      <c r="Q126" s="42">
        <v>54</v>
      </c>
    </row>
    <row r="127" spans="1:17" ht="25.5" thickBot="1">
      <c r="A127" s="4" t="s">
        <v>430</v>
      </c>
      <c r="B127" s="6" t="s">
        <v>272</v>
      </c>
      <c r="C127" t="s">
        <v>783</v>
      </c>
      <c r="D127" t="s">
        <v>663</v>
      </c>
      <c r="E127" t="s">
        <v>953</v>
      </c>
      <c r="F127" t="s">
        <v>1007</v>
      </c>
      <c r="G127" t="s">
        <v>1008</v>
      </c>
      <c r="H127" t="s">
        <v>647</v>
      </c>
      <c r="I127" t="s">
        <v>1009</v>
      </c>
      <c r="J127" t="s">
        <v>474</v>
      </c>
      <c r="K127" t="s">
        <v>475</v>
      </c>
      <c r="L127" t="s">
        <v>475</v>
      </c>
      <c r="M127" t="s">
        <v>513</v>
      </c>
      <c r="N127" s="31" t="s">
        <v>477</v>
      </c>
      <c r="O127" s="32" t="s">
        <v>798</v>
      </c>
      <c r="P127" s="14">
        <v>699</v>
      </c>
      <c r="Q127" s="42">
        <v>70</v>
      </c>
    </row>
    <row r="128" spans="1:17" ht="15.75" thickBot="1">
      <c r="A128" s="4" t="s">
        <v>431</v>
      </c>
      <c r="B128" s="6" t="s">
        <v>273</v>
      </c>
      <c r="C128" t="s">
        <v>607</v>
      </c>
      <c r="D128" t="s">
        <v>1010</v>
      </c>
      <c r="E128" t="s">
        <v>664</v>
      </c>
      <c r="F128" t="s">
        <v>1011</v>
      </c>
      <c r="G128" t="s">
        <v>1012</v>
      </c>
      <c r="H128" t="s">
        <v>1013</v>
      </c>
      <c r="I128" t="s">
        <v>1014</v>
      </c>
      <c r="J128" t="s">
        <v>503</v>
      </c>
      <c r="K128" t="s">
        <v>554</v>
      </c>
      <c r="L128" t="s">
        <v>476</v>
      </c>
      <c r="M128" t="s">
        <v>860</v>
      </c>
      <c r="N128" t="s">
        <v>136</v>
      </c>
      <c r="O128" s="26" t="s">
        <v>136</v>
      </c>
      <c r="P128" s="14">
        <v>698</v>
      </c>
      <c r="Q128" s="42">
        <v>70</v>
      </c>
    </row>
    <row r="129" spans="1:17" ht="25.5" thickBot="1">
      <c r="A129" s="4" t="s">
        <v>432</v>
      </c>
      <c r="B129" s="6" t="s">
        <v>274</v>
      </c>
      <c r="C129" t="s">
        <v>709</v>
      </c>
      <c r="D129" t="s">
        <v>989</v>
      </c>
      <c r="E129" t="s">
        <v>725</v>
      </c>
      <c r="F129" t="s">
        <v>801</v>
      </c>
      <c r="G129" t="s">
        <v>969</v>
      </c>
      <c r="H129" t="s">
        <v>713</v>
      </c>
      <c r="I129" t="s">
        <v>778</v>
      </c>
      <c r="J129" t="s">
        <v>474</v>
      </c>
      <c r="K129" t="s">
        <v>475</v>
      </c>
      <c r="L129" t="s">
        <v>504</v>
      </c>
      <c r="M129" t="s">
        <v>513</v>
      </c>
      <c r="N129" t="s">
        <v>136</v>
      </c>
      <c r="O129" s="26" t="s">
        <v>136</v>
      </c>
      <c r="P129" s="20">
        <v>837</v>
      </c>
      <c r="Q129" s="42">
        <v>83</v>
      </c>
    </row>
    <row r="130" spans="1:17" ht="25.5" thickBot="1">
      <c r="A130" s="4" t="s">
        <v>434</v>
      </c>
      <c r="B130" s="6" t="s">
        <v>275</v>
      </c>
      <c r="C130" t="s">
        <v>581</v>
      </c>
      <c r="D130" t="s">
        <v>1015</v>
      </c>
      <c r="E130" t="s">
        <v>1016</v>
      </c>
      <c r="F130" t="s">
        <v>468</v>
      </c>
      <c r="G130" t="s">
        <v>678</v>
      </c>
      <c r="H130" t="s">
        <v>1017</v>
      </c>
      <c r="I130" t="s">
        <v>1018</v>
      </c>
      <c r="J130" t="s">
        <v>513</v>
      </c>
      <c r="K130" t="s">
        <v>475</v>
      </c>
      <c r="L130" t="s">
        <v>504</v>
      </c>
      <c r="M130" t="s">
        <v>474</v>
      </c>
      <c r="N130" s="31" t="s">
        <v>477</v>
      </c>
      <c r="O130" s="32" t="s">
        <v>798</v>
      </c>
      <c r="P130" s="14">
        <v>632</v>
      </c>
      <c r="Q130" s="42">
        <v>63</v>
      </c>
    </row>
    <row r="131" spans="1:17" ht="15.75" thickBot="1">
      <c r="A131" s="4" t="s">
        <v>435</v>
      </c>
      <c r="B131" s="4" t="s">
        <v>276</v>
      </c>
      <c r="C131" t="s">
        <v>966</v>
      </c>
      <c r="D131" t="s">
        <v>1019</v>
      </c>
      <c r="E131" t="s">
        <v>599</v>
      </c>
      <c r="F131" t="s">
        <v>1020</v>
      </c>
      <c r="G131" t="s">
        <v>1021</v>
      </c>
      <c r="H131" t="s">
        <v>862</v>
      </c>
      <c r="I131" t="s">
        <v>1022</v>
      </c>
      <c r="J131" t="s">
        <v>580</v>
      </c>
      <c r="K131" t="s">
        <v>554</v>
      </c>
      <c r="L131" t="s">
        <v>554</v>
      </c>
      <c r="M131" t="s">
        <v>578</v>
      </c>
      <c r="N131" s="31" t="s">
        <v>477</v>
      </c>
      <c r="O131" s="32" t="s">
        <v>798</v>
      </c>
      <c r="P131" s="14">
        <v>724</v>
      </c>
      <c r="Q131" s="42">
        <v>72</v>
      </c>
    </row>
    <row r="132" spans="1:17" ht="25.5" thickBot="1">
      <c r="A132" s="4" t="s">
        <v>436</v>
      </c>
      <c r="B132" s="6" t="s">
        <v>277</v>
      </c>
      <c r="C132" t="s">
        <v>820</v>
      </c>
      <c r="D132" t="s">
        <v>721</v>
      </c>
      <c r="E132" t="s">
        <v>722</v>
      </c>
      <c r="F132" t="s">
        <v>668</v>
      </c>
      <c r="G132" t="s">
        <v>468</v>
      </c>
      <c r="H132" t="s">
        <v>812</v>
      </c>
      <c r="I132" t="s">
        <v>1023</v>
      </c>
      <c r="J132" t="s">
        <v>580</v>
      </c>
      <c r="K132" t="s">
        <v>475</v>
      </c>
      <c r="L132" t="s">
        <v>504</v>
      </c>
      <c r="M132" t="s">
        <v>578</v>
      </c>
      <c r="N132" t="s">
        <v>136</v>
      </c>
      <c r="O132" s="26" t="s">
        <v>136</v>
      </c>
      <c r="P132" s="14">
        <v>700</v>
      </c>
      <c r="Q132" s="42">
        <v>70</v>
      </c>
    </row>
    <row r="133" spans="1:17">
      <c r="A133" s="4" t="s">
        <v>437</v>
      </c>
      <c r="B133" s="4" t="s">
        <v>278</v>
      </c>
      <c r="C133" t="s">
        <v>837</v>
      </c>
      <c r="D133" t="s">
        <v>787</v>
      </c>
      <c r="E133" t="s">
        <v>1024</v>
      </c>
      <c r="F133" t="s">
        <v>527</v>
      </c>
      <c r="G133" t="s">
        <v>837</v>
      </c>
      <c r="H133" t="s">
        <v>836</v>
      </c>
      <c r="I133" t="s">
        <v>809</v>
      </c>
      <c r="J133" t="s">
        <v>525</v>
      </c>
      <c r="K133" t="s">
        <v>504</v>
      </c>
      <c r="L133" t="s">
        <v>504</v>
      </c>
      <c r="M133" t="s">
        <v>525</v>
      </c>
      <c r="N133" t="s">
        <v>136</v>
      </c>
      <c r="O133" s="26" t="s">
        <v>136</v>
      </c>
      <c r="P133" s="14">
        <v>824</v>
      </c>
      <c r="Q133" s="42">
        <v>82</v>
      </c>
    </row>
    <row r="134" spans="1:17">
      <c r="A134" s="4" t="s">
        <v>438</v>
      </c>
      <c r="B134" s="4" t="s">
        <v>279</v>
      </c>
      <c r="C134" t="s">
        <v>819</v>
      </c>
      <c r="D134" t="s">
        <v>610</v>
      </c>
      <c r="E134" t="s">
        <v>1025</v>
      </c>
      <c r="F134" t="s">
        <v>1026</v>
      </c>
      <c r="G134" t="s">
        <v>1027</v>
      </c>
      <c r="H134" t="s">
        <v>1028</v>
      </c>
      <c r="I134" t="s">
        <v>1029</v>
      </c>
      <c r="J134" t="s">
        <v>503</v>
      </c>
      <c r="K134" t="s">
        <v>475</v>
      </c>
      <c r="L134" t="s">
        <v>475</v>
      </c>
      <c r="M134" t="s">
        <v>505</v>
      </c>
      <c r="N134" t="s">
        <v>136</v>
      </c>
      <c r="O134" s="26" t="s">
        <v>136</v>
      </c>
      <c r="P134" s="14">
        <v>713</v>
      </c>
      <c r="Q134" s="42">
        <v>71</v>
      </c>
    </row>
    <row r="135" spans="1:17">
      <c r="A135" s="4"/>
      <c r="O135" s="26"/>
      <c r="P135" s="26"/>
    </row>
    <row r="136" spans="1:17">
      <c r="O136" s="26"/>
      <c r="P136" s="26"/>
    </row>
    <row r="137" spans="1:17">
      <c r="O137" s="26"/>
      <c r="P137" s="26"/>
    </row>
    <row r="138" spans="1:17">
      <c r="O138" s="26"/>
      <c r="P138" s="26"/>
    </row>
    <row r="139" spans="1:17">
      <c r="O139" s="26"/>
      <c r="P139" s="26"/>
    </row>
    <row r="140" spans="1:17">
      <c r="F140" t="s">
        <v>1030</v>
      </c>
      <c r="O140" s="26"/>
      <c r="P140" s="26"/>
    </row>
    <row r="141" spans="1:17">
      <c r="F141" t="s">
        <v>1031</v>
      </c>
      <c r="O141" s="26"/>
      <c r="P141" s="26"/>
    </row>
    <row r="142" spans="1:17">
      <c r="F142" t="s">
        <v>1032</v>
      </c>
      <c r="O142" s="26"/>
      <c r="P142" s="26"/>
    </row>
    <row r="143" spans="1:17">
      <c r="F143" t="s">
        <v>1033</v>
      </c>
      <c r="O143" s="26"/>
      <c r="P143" s="26"/>
    </row>
    <row r="144" spans="1:17">
      <c r="F144" t="s">
        <v>1034</v>
      </c>
      <c r="O144" s="26"/>
      <c r="P144" s="26"/>
    </row>
    <row r="145" spans="6:16">
      <c r="F145" t="s">
        <v>1035</v>
      </c>
      <c r="O145" s="26"/>
      <c r="P145" s="26"/>
    </row>
    <row r="146" spans="6:16">
      <c r="F146" t="s">
        <v>1036</v>
      </c>
      <c r="O146" s="26"/>
      <c r="P146" s="26"/>
    </row>
    <row r="147" spans="6:16">
      <c r="F147" t="s">
        <v>1037</v>
      </c>
      <c r="O147" s="26"/>
      <c r="P147" s="26"/>
    </row>
    <row r="148" spans="6:16">
      <c r="F148" t="s">
        <v>1038</v>
      </c>
      <c r="O148" s="26"/>
      <c r="P148" s="26"/>
    </row>
    <row r="149" spans="6:16">
      <c r="F149" t="s">
        <v>1039</v>
      </c>
      <c r="O149" s="26"/>
      <c r="P149" s="26"/>
    </row>
    <row r="150" spans="6:16">
      <c r="F150" t="s">
        <v>1040</v>
      </c>
      <c r="O150" s="26"/>
      <c r="P150" s="26"/>
    </row>
    <row r="151" spans="6:16">
      <c r="O151" s="26"/>
      <c r="P151" s="26"/>
    </row>
  </sheetData>
  <mergeCells count="1">
    <mergeCell ref="A1:R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>
      <selection activeCell="A2" sqref="A2"/>
    </sheetView>
  </sheetViews>
  <sheetFormatPr defaultRowHeight="15"/>
  <cols>
    <col min="1" max="1" width="14.42578125" customWidth="1"/>
    <col min="2" max="2" width="26.42578125" customWidth="1"/>
    <col min="3" max="3" width="11.42578125" customWidth="1"/>
    <col min="4" max="4" width="12.7109375" customWidth="1"/>
    <col min="5" max="7" width="10.85546875" customWidth="1"/>
    <col min="8" max="8" width="10.5703125" customWidth="1"/>
    <col min="9" max="9" width="9.7109375" customWidth="1"/>
    <col min="14" max="14" width="17.85546875" customWidth="1"/>
  </cols>
  <sheetData>
    <row r="1" spans="1:14">
      <c r="A1" s="60" t="s">
        <v>1052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>
      <c r="A2" s="30" t="s">
        <v>286</v>
      </c>
      <c r="B2" s="30" t="s">
        <v>287</v>
      </c>
      <c r="C2" s="30" t="s">
        <v>288</v>
      </c>
      <c r="D2" s="30" t="s">
        <v>289</v>
      </c>
      <c r="E2" s="30" t="s">
        <v>290</v>
      </c>
      <c r="F2" s="30" t="s">
        <v>291</v>
      </c>
      <c r="G2" s="30" t="s">
        <v>292</v>
      </c>
      <c r="H2" s="30" t="s">
        <v>439</v>
      </c>
      <c r="I2" s="30" t="s">
        <v>440</v>
      </c>
      <c r="J2" s="30" t="s">
        <v>441</v>
      </c>
      <c r="K2" s="30" t="s">
        <v>442</v>
      </c>
      <c r="L2" s="30" t="s">
        <v>293</v>
      </c>
      <c r="M2" s="30" t="s">
        <v>1050</v>
      </c>
      <c r="N2" s="30" t="s">
        <v>294</v>
      </c>
    </row>
    <row r="3" spans="1:14">
      <c r="A3" s="1" t="s">
        <v>295</v>
      </c>
      <c r="B3" s="1" t="s">
        <v>149</v>
      </c>
      <c r="C3" s="1">
        <v>78</v>
      </c>
      <c r="D3" s="1">
        <v>66</v>
      </c>
      <c r="E3" s="1">
        <v>59</v>
      </c>
      <c r="F3" s="1">
        <v>75</v>
      </c>
      <c r="G3" s="1">
        <v>53</v>
      </c>
      <c r="H3" s="1">
        <v>95</v>
      </c>
      <c r="I3" s="1">
        <v>97</v>
      </c>
      <c r="J3" s="1">
        <v>97</v>
      </c>
      <c r="K3" s="1">
        <v>96</v>
      </c>
      <c r="L3" s="1">
        <v>716</v>
      </c>
      <c r="M3" s="54">
        <f>(L3/900)</f>
        <v>0.79555555555555557</v>
      </c>
      <c r="N3" s="1" t="s">
        <v>136</v>
      </c>
    </row>
    <row r="4" spans="1:14">
      <c r="A4" s="1" t="s">
        <v>296</v>
      </c>
      <c r="B4" s="1" t="s">
        <v>150</v>
      </c>
      <c r="C4" s="1">
        <v>94</v>
      </c>
      <c r="D4" s="1">
        <v>56</v>
      </c>
      <c r="E4" s="1">
        <v>55</v>
      </c>
      <c r="F4" s="1">
        <v>62</v>
      </c>
      <c r="G4" s="1">
        <v>50</v>
      </c>
      <c r="H4" s="1">
        <v>94</v>
      </c>
      <c r="I4" s="1">
        <v>97</v>
      </c>
      <c r="J4" s="1">
        <v>97</v>
      </c>
      <c r="K4" s="1">
        <v>96</v>
      </c>
      <c r="L4" s="1">
        <v>701</v>
      </c>
      <c r="M4" s="54">
        <f t="shared" ref="M4:M67" si="0">(L4/900)</f>
        <v>0.77888888888888885</v>
      </c>
      <c r="N4" s="1" t="s">
        <v>136</v>
      </c>
    </row>
    <row r="5" spans="1:14">
      <c r="A5" s="1" t="s">
        <v>297</v>
      </c>
      <c r="B5" s="1" t="s">
        <v>151</v>
      </c>
      <c r="C5" s="1">
        <v>8</v>
      </c>
      <c r="D5" s="1">
        <v>7</v>
      </c>
      <c r="E5" s="1">
        <v>42</v>
      </c>
      <c r="F5" s="1">
        <v>10</v>
      </c>
      <c r="G5" s="1">
        <v>12</v>
      </c>
      <c r="H5" s="1">
        <v>90</v>
      </c>
      <c r="I5" s="1">
        <v>89</v>
      </c>
      <c r="J5" s="1">
        <v>90</v>
      </c>
      <c r="K5" s="1">
        <v>85</v>
      </c>
      <c r="L5" s="1">
        <v>433</v>
      </c>
      <c r="M5" s="54">
        <f t="shared" si="0"/>
        <v>0.4811111111111111</v>
      </c>
      <c r="N5" s="1" t="s">
        <v>443</v>
      </c>
    </row>
    <row r="6" spans="1:14">
      <c r="A6" s="1" t="s">
        <v>298</v>
      </c>
      <c r="B6" s="1" t="s">
        <v>152</v>
      </c>
      <c r="C6" s="1">
        <v>55</v>
      </c>
      <c r="D6" s="1">
        <v>77</v>
      </c>
      <c r="E6" s="1">
        <v>74</v>
      </c>
      <c r="F6" s="1">
        <v>82</v>
      </c>
      <c r="G6" s="1">
        <v>77</v>
      </c>
      <c r="H6" s="1">
        <v>93</v>
      </c>
      <c r="I6" s="1">
        <v>94</v>
      </c>
      <c r="J6" s="1">
        <v>95</v>
      </c>
      <c r="K6" s="1">
        <v>87</v>
      </c>
      <c r="L6" s="1">
        <v>734</v>
      </c>
      <c r="M6" s="54">
        <f t="shared" si="0"/>
        <v>0.81555555555555559</v>
      </c>
      <c r="N6" s="1" t="s">
        <v>136</v>
      </c>
    </row>
    <row r="7" spans="1:14">
      <c r="A7" s="1" t="s">
        <v>299</v>
      </c>
      <c r="B7" s="1" t="s">
        <v>153</v>
      </c>
      <c r="C7" s="1">
        <v>75</v>
      </c>
      <c r="D7" s="1">
        <v>87</v>
      </c>
      <c r="E7" s="1">
        <v>78</v>
      </c>
      <c r="F7" s="1">
        <v>63</v>
      </c>
      <c r="G7" s="1">
        <v>65</v>
      </c>
      <c r="H7" s="1">
        <v>96</v>
      </c>
      <c r="I7" s="1">
        <v>96</v>
      </c>
      <c r="J7" s="1">
        <v>97</v>
      </c>
      <c r="K7" s="1">
        <v>99</v>
      </c>
      <c r="L7" s="1">
        <v>756</v>
      </c>
      <c r="M7" s="54">
        <f t="shared" si="0"/>
        <v>0.84</v>
      </c>
      <c r="N7" s="1" t="s">
        <v>136</v>
      </c>
    </row>
    <row r="8" spans="1:14">
      <c r="A8" s="1" t="s">
        <v>300</v>
      </c>
      <c r="B8" s="1" t="s">
        <v>154</v>
      </c>
      <c r="C8" s="1">
        <v>76</v>
      </c>
      <c r="D8" s="1">
        <v>84</v>
      </c>
      <c r="E8" s="1">
        <v>70</v>
      </c>
      <c r="F8" s="1">
        <v>79</v>
      </c>
      <c r="G8" s="1">
        <v>57</v>
      </c>
      <c r="H8" s="1">
        <v>97</v>
      </c>
      <c r="I8" s="1">
        <v>96</v>
      </c>
      <c r="J8" s="1">
        <v>97</v>
      </c>
      <c r="K8" s="1">
        <v>96</v>
      </c>
      <c r="L8" s="1">
        <v>752</v>
      </c>
      <c r="M8" s="54">
        <f t="shared" si="0"/>
        <v>0.83555555555555561</v>
      </c>
      <c r="N8" s="1" t="s">
        <v>136</v>
      </c>
    </row>
    <row r="9" spans="1:14">
      <c r="A9" s="1" t="s">
        <v>301</v>
      </c>
      <c r="B9" s="1" t="s">
        <v>155</v>
      </c>
      <c r="C9" s="1">
        <v>100</v>
      </c>
      <c r="D9" s="1">
        <v>100</v>
      </c>
      <c r="E9" s="1">
        <v>87</v>
      </c>
      <c r="F9" s="1">
        <v>99</v>
      </c>
      <c r="G9" s="1">
        <v>87</v>
      </c>
      <c r="H9" s="1">
        <v>100</v>
      </c>
      <c r="I9" s="1">
        <v>100</v>
      </c>
      <c r="J9" s="1">
        <v>100</v>
      </c>
      <c r="K9" s="1">
        <v>100</v>
      </c>
      <c r="L9" s="1">
        <v>873</v>
      </c>
      <c r="M9" s="54">
        <f t="shared" si="0"/>
        <v>0.97</v>
      </c>
      <c r="N9" s="1" t="s">
        <v>136</v>
      </c>
    </row>
    <row r="10" spans="1:14">
      <c r="A10" s="1" t="s">
        <v>302</v>
      </c>
      <c r="B10" s="1" t="s">
        <v>156</v>
      </c>
      <c r="C10" s="1">
        <v>71</v>
      </c>
      <c r="D10" s="1">
        <v>13</v>
      </c>
      <c r="E10" s="1">
        <v>58</v>
      </c>
      <c r="F10" s="1">
        <v>63</v>
      </c>
      <c r="G10" s="1">
        <v>52</v>
      </c>
      <c r="H10" s="1">
        <v>95</v>
      </c>
      <c r="I10" s="1">
        <v>95</v>
      </c>
      <c r="J10" s="1">
        <v>96</v>
      </c>
      <c r="K10" s="1">
        <v>92</v>
      </c>
      <c r="L10" s="1">
        <v>635</v>
      </c>
      <c r="M10" s="54">
        <f t="shared" si="0"/>
        <v>0.7055555555555556</v>
      </c>
      <c r="N10" s="1" t="s">
        <v>444</v>
      </c>
    </row>
    <row r="11" spans="1:14">
      <c r="A11" s="1" t="s">
        <v>303</v>
      </c>
      <c r="B11" s="1" t="s">
        <v>157</v>
      </c>
      <c r="C11" s="1">
        <v>15</v>
      </c>
      <c r="D11" s="1">
        <v>26</v>
      </c>
      <c r="E11" s="1">
        <v>42</v>
      </c>
      <c r="F11" s="1">
        <v>37</v>
      </c>
      <c r="G11" s="1">
        <v>10</v>
      </c>
      <c r="H11" s="1">
        <v>91</v>
      </c>
      <c r="I11" s="1">
        <v>92</v>
      </c>
      <c r="J11" s="1">
        <v>93</v>
      </c>
      <c r="K11" s="1">
        <v>85</v>
      </c>
      <c r="L11" s="1">
        <v>491</v>
      </c>
      <c r="M11" s="54">
        <f t="shared" si="0"/>
        <v>0.54555555555555557</v>
      </c>
      <c r="N11" s="1" t="s">
        <v>443</v>
      </c>
    </row>
    <row r="12" spans="1:14">
      <c r="A12" s="1" t="s">
        <v>304</v>
      </c>
      <c r="B12" s="1" t="s">
        <v>158</v>
      </c>
      <c r="C12" s="1">
        <v>99</v>
      </c>
      <c r="D12" s="1">
        <v>73</v>
      </c>
      <c r="E12" s="1">
        <v>63</v>
      </c>
      <c r="F12" s="1">
        <v>64</v>
      </c>
      <c r="G12" s="1">
        <v>16</v>
      </c>
      <c r="H12" s="1">
        <v>93</v>
      </c>
      <c r="I12" s="1">
        <v>95</v>
      </c>
      <c r="J12" s="1">
        <v>96</v>
      </c>
      <c r="K12" s="1">
        <v>93</v>
      </c>
      <c r="L12" s="1">
        <v>692</v>
      </c>
      <c r="M12" s="54">
        <f t="shared" si="0"/>
        <v>0.76888888888888884</v>
      </c>
      <c r="N12" s="1" t="s">
        <v>445</v>
      </c>
    </row>
    <row r="13" spans="1:14">
      <c r="A13" s="1" t="s">
        <v>305</v>
      </c>
      <c r="B13" s="1" t="s">
        <v>159</v>
      </c>
      <c r="C13" s="1">
        <v>95</v>
      </c>
      <c r="D13" s="1">
        <v>58</v>
      </c>
      <c r="E13" s="1">
        <v>57</v>
      </c>
      <c r="F13" s="1">
        <v>67</v>
      </c>
      <c r="G13" s="1">
        <v>54</v>
      </c>
      <c r="H13" s="1">
        <v>98</v>
      </c>
      <c r="I13" s="1">
        <v>97</v>
      </c>
      <c r="J13" s="1">
        <v>98</v>
      </c>
      <c r="K13" s="1">
        <v>96</v>
      </c>
      <c r="L13" s="1">
        <v>720</v>
      </c>
      <c r="M13" s="54">
        <f t="shared" si="0"/>
        <v>0.8</v>
      </c>
      <c r="N13" s="1" t="s">
        <v>136</v>
      </c>
    </row>
    <row r="14" spans="1:14">
      <c r="A14" s="1" t="s">
        <v>306</v>
      </c>
      <c r="B14" s="1" t="s">
        <v>160</v>
      </c>
      <c r="C14" s="1">
        <v>59</v>
      </c>
      <c r="D14" s="1">
        <v>57</v>
      </c>
      <c r="E14" s="1">
        <v>59</v>
      </c>
      <c r="F14" s="1">
        <v>74</v>
      </c>
      <c r="G14" s="1">
        <v>60</v>
      </c>
      <c r="H14" s="1">
        <v>94</v>
      </c>
      <c r="I14" s="1">
        <v>95</v>
      </c>
      <c r="J14" s="1">
        <v>94</v>
      </c>
      <c r="K14" s="1">
        <v>90</v>
      </c>
      <c r="L14" s="1">
        <v>682</v>
      </c>
      <c r="M14" s="54">
        <f t="shared" si="0"/>
        <v>0.75777777777777777</v>
      </c>
      <c r="N14" s="1" t="s">
        <v>136</v>
      </c>
    </row>
    <row r="15" spans="1:14">
      <c r="A15" s="1" t="s">
        <v>307</v>
      </c>
      <c r="B15" s="1" t="s">
        <v>161</v>
      </c>
      <c r="C15" s="1">
        <v>97</v>
      </c>
      <c r="D15" s="1">
        <v>66</v>
      </c>
      <c r="E15" s="1">
        <v>56</v>
      </c>
      <c r="F15" s="1">
        <v>92</v>
      </c>
      <c r="G15" s="1">
        <v>38</v>
      </c>
      <c r="H15" s="1">
        <v>97</v>
      </c>
      <c r="I15" s="1">
        <v>98</v>
      </c>
      <c r="J15" s="1">
        <v>98</v>
      </c>
      <c r="K15" s="1">
        <v>98</v>
      </c>
      <c r="L15" s="1">
        <v>740</v>
      </c>
      <c r="M15" s="54">
        <f t="shared" si="0"/>
        <v>0.82222222222222219</v>
      </c>
      <c r="N15" s="1" t="s">
        <v>136</v>
      </c>
    </row>
    <row r="16" spans="1:14">
      <c r="A16" s="1" t="s">
        <v>308</v>
      </c>
      <c r="B16" s="1" t="s">
        <v>162</v>
      </c>
      <c r="C16" s="1">
        <v>80</v>
      </c>
      <c r="D16" s="1">
        <v>62</v>
      </c>
      <c r="E16" s="1">
        <v>50</v>
      </c>
      <c r="F16" s="1">
        <v>49</v>
      </c>
      <c r="G16" s="1">
        <v>24</v>
      </c>
      <c r="H16" s="1">
        <v>95</v>
      </c>
      <c r="I16" s="1">
        <v>97</v>
      </c>
      <c r="J16" s="1">
        <v>97</v>
      </c>
      <c r="K16" s="1">
        <v>96</v>
      </c>
      <c r="L16" s="1">
        <v>650</v>
      </c>
      <c r="M16" s="54">
        <f t="shared" si="0"/>
        <v>0.72222222222222221</v>
      </c>
      <c r="N16" s="1" t="s">
        <v>445</v>
      </c>
    </row>
    <row r="17" spans="1:14">
      <c r="A17" s="1" t="s">
        <v>309</v>
      </c>
      <c r="B17" s="1" t="s">
        <v>163</v>
      </c>
      <c r="C17" s="1">
        <v>48</v>
      </c>
      <c r="D17" s="1">
        <v>48</v>
      </c>
      <c r="E17" s="1">
        <v>39</v>
      </c>
      <c r="F17" s="1">
        <v>42</v>
      </c>
      <c r="G17" s="1">
        <v>16</v>
      </c>
      <c r="H17" s="1">
        <v>93</v>
      </c>
      <c r="I17" s="1">
        <v>96</v>
      </c>
      <c r="J17" s="1">
        <v>96</v>
      </c>
      <c r="K17" s="1">
        <v>96</v>
      </c>
      <c r="L17" s="1">
        <v>574</v>
      </c>
      <c r="M17" s="54">
        <f t="shared" si="0"/>
        <v>0.63777777777777778</v>
      </c>
      <c r="N17" s="1" t="s">
        <v>445</v>
      </c>
    </row>
    <row r="18" spans="1:14">
      <c r="A18" s="1" t="s">
        <v>310</v>
      </c>
      <c r="B18" s="1" t="s">
        <v>164</v>
      </c>
      <c r="C18" s="1">
        <v>68</v>
      </c>
      <c r="D18" s="1">
        <v>70</v>
      </c>
      <c r="E18" s="1">
        <v>63</v>
      </c>
      <c r="F18" s="1">
        <v>70</v>
      </c>
      <c r="G18" s="1">
        <v>57</v>
      </c>
      <c r="H18" s="1">
        <v>94</v>
      </c>
      <c r="I18" s="1">
        <v>95</v>
      </c>
      <c r="J18" s="1">
        <v>94</v>
      </c>
      <c r="K18" s="1">
        <v>94</v>
      </c>
      <c r="L18" s="1">
        <v>705</v>
      </c>
      <c r="M18" s="54">
        <f t="shared" si="0"/>
        <v>0.78333333333333333</v>
      </c>
      <c r="N18" s="1" t="s">
        <v>136</v>
      </c>
    </row>
    <row r="19" spans="1:14">
      <c r="A19" s="1" t="s">
        <v>311</v>
      </c>
      <c r="B19" s="1" t="s">
        <v>312</v>
      </c>
      <c r="C19" s="1">
        <v>88</v>
      </c>
      <c r="D19" s="1">
        <v>57</v>
      </c>
      <c r="E19" s="1">
        <v>42</v>
      </c>
      <c r="F19" s="1">
        <v>69</v>
      </c>
      <c r="G19" s="1">
        <v>76</v>
      </c>
      <c r="H19" s="1">
        <v>95</v>
      </c>
      <c r="I19" s="1">
        <v>97</v>
      </c>
      <c r="J19" s="1">
        <v>98</v>
      </c>
      <c r="K19" s="1">
        <v>95</v>
      </c>
      <c r="L19" s="1">
        <v>717</v>
      </c>
      <c r="M19" s="54">
        <f t="shared" si="0"/>
        <v>0.79666666666666663</v>
      </c>
      <c r="N19" s="1" t="s">
        <v>136</v>
      </c>
    </row>
    <row r="20" spans="1:14">
      <c r="A20" s="1" t="s">
        <v>313</v>
      </c>
      <c r="B20" s="1" t="s">
        <v>166</v>
      </c>
      <c r="C20" s="1">
        <v>13</v>
      </c>
      <c r="D20" s="1">
        <v>26</v>
      </c>
      <c r="E20" s="1">
        <v>11</v>
      </c>
      <c r="F20" s="1">
        <v>18</v>
      </c>
      <c r="G20" s="1">
        <v>26</v>
      </c>
      <c r="H20" s="1">
        <v>85</v>
      </c>
      <c r="I20" s="1">
        <v>90</v>
      </c>
      <c r="J20" s="1">
        <v>90</v>
      </c>
      <c r="K20" s="1">
        <v>86</v>
      </c>
      <c r="L20" s="1">
        <v>445</v>
      </c>
      <c r="M20" s="54">
        <f t="shared" si="0"/>
        <v>0.49444444444444446</v>
      </c>
      <c r="N20" s="1" t="s">
        <v>446</v>
      </c>
    </row>
    <row r="21" spans="1:14">
      <c r="A21" s="1" t="s">
        <v>314</v>
      </c>
      <c r="B21" s="1" t="s">
        <v>167</v>
      </c>
      <c r="C21" s="1">
        <v>22</v>
      </c>
      <c r="D21" s="1">
        <v>19</v>
      </c>
      <c r="E21" s="1">
        <v>37</v>
      </c>
      <c r="F21" s="1">
        <v>54</v>
      </c>
      <c r="G21" s="1">
        <v>53</v>
      </c>
      <c r="H21" s="1">
        <v>84</v>
      </c>
      <c r="I21" s="1">
        <v>91</v>
      </c>
      <c r="J21" s="1">
        <v>92</v>
      </c>
      <c r="K21" s="1">
        <v>84</v>
      </c>
      <c r="L21" s="1">
        <v>536</v>
      </c>
      <c r="M21" s="54">
        <f t="shared" si="0"/>
        <v>0.5955555555555555</v>
      </c>
      <c r="N21" s="1" t="s">
        <v>447</v>
      </c>
    </row>
    <row r="22" spans="1:14">
      <c r="A22" s="1" t="s">
        <v>315</v>
      </c>
      <c r="B22" s="1" t="s">
        <v>316</v>
      </c>
      <c r="C22" s="1">
        <v>87</v>
      </c>
      <c r="D22" s="1">
        <v>55</v>
      </c>
      <c r="E22" s="1">
        <v>64</v>
      </c>
      <c r="F22" s="1">
        <v>59</v>
      </c>
      <c r="G22" s="1">
        <v>59</v>
      </c>
      <c r="H22" s="1">
        <v>93</v>
      </c>
      <c r="I22" s="1">
        <v>95</v>
      </c>
      <c r="J22" s="1">
        <v>96</v>
      </c>
      <c r="K22" s="1">
        <v>93</v>
      </c>
      <c r="L22" s="1">
        <v>701</v>
      </c>
      <c r="M22" s="54">
        <f t="shared" si="0"/>
        <v>0.77888888888888885</v>
      </c>
      <c r="N22" s="1" t="s">
        <v>136</v>
      </c>
    </row>
    <row r="23" spans="1:14">
      <c r="A23" s="1" t="s">
        <v>317</v>
      </c>
      <c r="B23" s="1" t="s">
        <v>169</v>
      </c>
      <c r="C23" s="1">
        <v>84</v>
      </c>
      <c r="D23" s="1">
        <v>49</v>
      </c>
      <c r="E23" s="1">
        <v>72</v>
      </c>
      <c r="F23" s="1">
        <v>75</v>
      </c>
      <c r="G23" s="1">
        <v>82</v>
      </c>
      <c r="H23" s="1">
        <v>93</v>
      </c>
      <c r="I23" s="1">
        <v>97</v>
      </c>
      <c r="J23" s="1">
        <v>96</v>
      </c>
      <c r="K23" s="1">
        <v>97</v>
      </c>
      <c r="L23" s="1">
        <v>745</v>
      </c>
      <c r="M23" s="54">
        <f t="shared" si="0"/>
        <v>0.82777777777777772</v>
      </c>
      <c r="N23" s="1" t="s">
        <v>136</v>
      </c>
    </row>
    <row r="24" spans="1:14">
      <c r="A24" s="1" t="s">
        <v>318</v>
      </c>
      <c r="B24" s="1" t="s">
        <v>170</v>
      </c>
      <c r="C24" s="1">
        <v>97</v>
      </c>
      <c r="D24" s="1">
        <v>74</v>
      </c>
      <c r="E24" s="1">
        <v>85</v>
      </c>
      <c r="F24" s="1">
        <v>85</v>
      </c>
      <c r="G24" s="1">
        <v>85</v>
      </c>
      <c r="H24" s="1">
        <v>99</v>
      </c>
      <c r="I24" s="1">
        <v>99</v>
      </c>
      <c r="J24" s="1">
        <v>99</v>
      </c>
      <c r="K24" s="1">
        <v>99</v>
      </c>
      <c r="L24" s="1">
        <v>822</v>
      </c>
      <c r="M24" s="54">
        <f t="shared" si="0"/>
        <v>0.91333333333333333</v>
      </c>
      <c r="N24" s="1" t="s">
        <v>136</v>
      </c>
    </row>
    <row r="25" spans="1:14">
      <c r="A25" s="1" t="s">
        <v>319</v>
      </c>
      <c r="B25" s="1" t="s">
        <v>171</v>
      </c>
      <c r="C25" s="1">
        <v>93</v>
      </c>
      <c r="D25" s="1">
        <v>84</v>
      </c>
      <c r="E25" s="1">
        <v>73</v>
      </c>
      <c r="F25" s="1">
        <v>67</v>
      </c>
      <c r="G25" s="1">
        <v>58</v>
      </c>
      <c r="H25" s="1">
        <v>94</v>
      </c>
      <c r="I25" s="1">
        <v>96</v>
      </c>
      <c r="J25" s="1">
        <v>97</v>
      </c>
      <c r="K25" s="1">
        <v>95</v>
      </c>
      <c r="L25" s="1">
        <v>757</v>
      </c>
      <c r="M25" s="54">
        <f t="shared" si="0"/>
        <v>0.84111111111111114</v>
      </c>
      <c r="N25" s="1" t="s">
        <v>136</v>
      </c>
    </row>
    <row r="26" spans="1:14">
      <c r="A26" s="1" t="s">
        <v>320</v>
      </c>
      <c r="B26" s="1" t="s">
        <v>321</v>
      </c>
      <c r="C26" s="1">
        <v>70</v>
      </c>
      <c r="D26" s="1">
        <v>52</v>
      </c>
      <c r="E26" s="1">
        <v>51</v>
      </c>
      <c r="F26" s="1">
        <v>56</v>
      </c>
      <c r="G26" s="1">
        <v>61</v>
      </c>
      <c r="H26" s="1">
        <v>93</v>
      </c>
      <c r="I26" s="1">
        <v>95</v>
      </c>
      <c r="J26" s="1">
        <v>96</v>
      </c>
      <c r="K26" s="1">
        <v>96</v>
      </c>
      <c r="L26" s="1">
        <v>670</v>
      </c>
      <c r="M26" s="54">
        <f t="shared" si="0"/>
        <v>0.74444444444444446</v>
      </c>
      <c r="N26" s="1" t="s">
        <v>136</v>
      </c>
    </row>
    <row r="27" spans="1:14">
      <c r="A27" s="1" t="s">
        <v>322</v>
      </c>
      <c r="B27" s="1" t="s">
        <v>323</v>
      </c>
      <c r="C27" s="1">
        <v>24</v>
      </c>
      <c r="D27" s="1">
        <v>9</v>
      </c>
      <c r="E27" s="1">
        <v>47</v>
      </c>
      <c r="F27" s="1">
        <v>14</v>
      </c>
      <c r="G27" s="1">
        <v>17</v>
      </c>
      <c r="H27" s="1">
        <v>89</v>
      </c>
      <c r="I27" s="1">
        <v>90</v>
      </c>
      <c r="J27" s="1">
        <v>91</v>
      </c>
      <c r="K27" s="1">
        <v>90</v>
      </c>
      <c r="L27" s="1">
        <v>471</v>
      </c>
      <c r="M27" s="54">
        <f t="shared" si="0"/>
        <v>0.52333333333333332</v>
      </c>
      <c r="N27" s="1" t="s">
        <v>443</v>
      </c>
    </row>
    <row r="28" spans="1:14">
      <c r="A28" s="1" t="s">
        <v>324</v>
      </c>
      <c r="B28" s="1" t="s">
        <v>174</v>
      </c>
      <c r="C28" s="1">
        <v>58</v>
      </c>
      <c r="D28" s="1">
        <v>23</v>
      </c>
      <c r="E28" s="1">
        <v>49</v>
      </c>
      <c r="F28" s="1">
        <v>43</v>
      </c>
      <c r="G28" s="1">
        <v>35</v>
      </c>
      <c r="H28" s="1">
        <v>90</v>
      </c>
      <c r="I28" s="1">
        <v>94</v>
      </c>
      <c r="J28" s="1">
        <v>95</v>
      </c>
      <c r="K28" s="1">
        <v>90</v>
      </c>
      <c r="L28" s="1">
        <v>577</v>
      </c>
      <c r="M28" s="54">
        <f t="shared" si="0"/>
        <v>0.64111111111111108</v>
      </c>
      <c r="N28" s="1" t="s">
        <v>448</v>
      </c>
    </row>
    <row r="29" spans="1:14">
      <c r="A29" s="1" t="s">
        <v>325</v>
      </c>
      <c r="B29" s="1" t="s">
        <v>175</v>
      </c>
      <c r="C29" s="1">
        <v>65</v>
      </c>
      <c r="D29" s="1">
        <v>40</v>
      </c>
      <c r="E29" s="1">
        <v>46</v>
      </c>
      <c r="F29" s="1">
        <v>38</v>
      </c>
      <c r="G29" s="1">
        <v>19</v>
      </c>
      <c r="H29" s="1">
        <v>69</v>
      </c>
      <c r="I29" s="1">
        <v>93</v>
      </c>
      <c r="J29" s="1">
        <v>93</v>
      </c>
      <c r="K29" s="1">
        <v>87</v>
      </c>
      <c r="L29" s="1">
        <v>550</v>
      </c>
      <c r="M29" s="54">
        <f t="shared" si="0"/>
        <v>0.61111111111111116</v>
      </c>
      <c r="N29" s="1" t="s">
        <v>445</v>
      </c>
    </row>
    <row r="30" spans="1:14">
      <c r="A30" s="1" t="s">
        <v>326</v>
      </c>
      <c r="B30" s="1" t="s">
        <v>176</v>
      </c>
      <c r="C30" s="1">
        <v>73</v>
      </c>
      <c r="D30" s="1">
        <v>39</v>
      </c>
      <c r="E30" s="1">
        <v>59</v>
      </c>
      <c r="F30" s="1">
        <v>55</v>
      </c>
      <c r="G30" s="1">
        <v>53</v>
      </c>
      <c r="H30" s="1">
        <v>92</v>
      </c>
      <c r="I30" s="1">
        <v>95</v>
      </c>
      <c r="J30" s="1">
        <v>94</v>
      </c>
      <c r="K30" s="1">
        <v>91</v>
      </c>
      <c r="L30" s="1">
        <v>651</v>
      </c>
      <c r="M30" s="54">
        <f t="shared" si="0"/>
        <v>0.72333333333333338</v>
      </c>
      <c r="N30" s="1" t="s">
        <v>136</v>
      </c>
    </row>
    <row r="31" spans="1:14">
      <c r="A31" s="1" t="s">
        <v>327</v>
      </c>
      <c r="B31" s="1" t="s">
        <v>177</v>
      </c>
      <c r="C31" s="1">
        <v>58</v>
      </c>
      <c r="D31" s="1">
        <v>41</v>
      </c>
      <c r="E31" s="1">
        <v>59</v>
      </c>
      <c r="F31" s="1">
        <v>77</v>
      </c>
      <c r="G31" s="1">
        <v>58</v>
      </c>
      <c r="H31" s="1">
        <v>97</v>
      </c>
      <c r="I31" s="1">
        <v>97</v>
      </c>
      <c r="J31" s="1">
        <v>97</v>
      </c>
      <c r="K31" s="1">
        <v>96</v>
      </c>
      <c r="L31" s="1">
        <v>680</v>
      </c>
      <c r="M31" s="54">
        <f t="shared" si="0"/>
        <v>0.75555555555555554</v>
      </c>
      <c r="N31" s="1" t="s">
        <v>136</v>
      </c>
    </row>
    <row r="32" spans="1:14">
      <c r="A32" s="1" t="s">
        <v>328</v>
      </c>
      <c r="B32" s="1" t="s">
        <v>178</v>
      </c>
      <c r="C32" s="1">
        <v>51</v>
      </c>
      <c r="D32" s="1">
        <v>52</v>
      </c>
      <c r="E32" s="1">
        <v>49</v>
      </c>
      <c r="F32" s="1">
        <v>40</v>
      </c>
      <c r="G32" s="1">
        <v>10</v>
      </c>
      <c r="H32" s="1">
        <v>88</v>
      </c>
      <c r="I32" s="1">
        <v>97</v>
      </c>
      <c r="J32" s="1">
        <v>95</v>
      </c>
      <c r="K32" s="1">
        <v>88</v>
      </c>
      <c r="L32" s="1">
        <v>570</v>
      </c>
      <c r="M32" s="54">
        <f t="shared" si="0"/>
        <v>0.6333333333333333</v>
      </c>
      <c r="N32" s="1" t="s">
        <v>445</v>
      </c>
    </row>
    <row r="33" spans="1:14">
      <c r="A33" s="1" t="s">
        <v>329</v>
      </c>
      <c r="B33" s="1" t="s">
        <v>179</v>
      </c>
      <c r="C33" s="1">
        <v>38</v>
      </c>
      <c r="D33" s="1">
        <v>55</v>
      </c>
      <c r="E33" s="1">
        <v>46</v>
      </c>
      <c r="F33" s="1">
        <v>37</v>
      </c>
      <c r="G33" s="1">
        <v>46</v>
      </c>
      <c r="H33" s="1">
        <v>90</v>
      </c>
      <c r="I33" s="1">
        <v>96</v>
      </c>
      <c r="J33" s="1">
        <v>93</v>
      </c>
      <c r="K33" s="1">
        <v>93</v>
      </c>
      <c r="L33" s="1">
        <v>594</v>
      </c>
      <c r="M33" s="54">
        <f t="shared" si="0"/>
        <v>0.66</v>
      </c>
      <c r="N33" s="1" t="s">
        <v>136</v>
      </c>
    </row>
    <row r="34" spans="1:14">
      <c r="A34" s="1" t="s">
        <v>330</v>
      </c>
      <c r="B34" s="1" t="s">
        <v>180</v>
      </c>
      <c r="C34" s="1">
        <v>79</v>
      </c>
      <c r="D34" s="1">
        <v>57</v>
      </c>
      <c r="E34" s="1">
        <v>74</v>
      </c>
      <c r="F34" s="1">
        <v>76</v>
      </c>
      <c r="G34" s="1">
        <v>64</v>
      </c>
      <c r="H34" s="1">
        <v>92</v>
      </c>
      <c r="I34" s="1">
        <v>95</v>
      </c>
      <c r="J34" s="1">
        <v>96</v>
      </c>
      <c r="K34" s="1">
        <v>98</v>
      </c>
      <c r="L34" s="1">
        <v>731</v>
      </c>
      <c r="M34" s="54">
        <f t="shared" si="0"/>
        <v>0.81222222222222218</v>
      </c>
      <c r="N34" s="1" t="s">
        <v>136</v>
      </c>
    </row>
    <row r="35" spans="1:14">
      <c r="A35" s="1" t="s">
        <v>331</v>
      </c>
      <c r="B35" s="1" t="s">
        <v>181</v>
      </c>
      <c r="C35" s="1">
        <v>7</v>
      </c>
      <c r="D35" s="1">
        <v>7</v>
      </c>
      <c r="E35" s="1">
        <v>43</v>
      </c>
      <c r="F35" s="1">
        <v>41</v>
      </c>
      <c r="G35" s="1">
        <v>7</v>
      </c>
      <c r="H35" s="1">
        <v>88</v>
      </c>
      <c r="I35" s="1">
        <v>88</v>
      </c>
      <c r="J35" s="1">
        <v>89</v>
      </c>
      <c r="K35" s="1">
        <v>84</v>
      </c>
      <c r="L35" s="1">
        <v>454</v>
      </c>
      <c r="M35" s="54">
        <f t="shared" si="0"/>
        <v>0.50444444444444447</v>
      </c>
      <c r="N35" s="1" t="s">
        <v>449</v>
      </c>
    </row>
    <row r="36" spans="1:14">
      <c r="A36" s="1" t="s">
        <v>332</v>
      </c>
      <c r="B36" s="1" t="s">
        <v>182</v>
      </c>
      <c r="C36" s="1">
        <v>75</v>
      </c>
      <c r="D36" s="1">
        <v>88</v>
      </c>
      <c r="E36" s="1">
        <v>67</v>
      </c>
      <c r="F36" s="1">
        <v>72</v>
      </c>
      <c r="G36" s="1">
        <v>47</v>
      </c>
      <c r="H36" s="1">
        <v>95</v>
      </c>
      <c r="I36" s="1">
        <v>97</v>
      </c>
      <c r="J36" s="1">
        <v>96</v>
      </c>
      <c r="K36" s="1">
        <v>96</v>
      </c>
      <c r="L36" s="1">
        <v>733</v>
      </c>
      <c r="M36" s="54">
        <f t="shared" si="0"/>
        <v>0.81444444444444442</v>
      </c>
      <c r="N36" s="1" t="s">
        <v>136</v>
      </c>
    </row>
    <row r="37" spans="1:14">
      <c r="A37" s="1" t="s">
        <v>333</v>
      </c>
      <c r="B37" s="1" t="s">
        <v>183</v>
      </c>
      <c r="C37" s="1">
        <v>58</v>
      </c>
      <c r="D37" s="1">
        <v>40</v>
      </c>
      <c r="E37" s="1">
        <v>62</v>
      </c>
      <c r="F37" s="1">
        <v>70</v>
      </c>
      <c r="G37" s="1">
        <v>51</v>
      </c>
      <c r="H37" s="1">
        <v>96</v>
      </c>
      <c r="I37" s="1">
        <v>96</v>
      </c>
      <c r="J37" s="1">
        <v>96</v>
      </c>
      <c r="K37" s="1">
        <v>94</v>
      </c>
      <c r="L37" s="1">
        <v>663</v>
      </c>
      <c r="M37" s="54">
        <f t="shared" si="0"/>
        <v>0.73666666666666669</v>
      </c>
      <c r="N37" s="1" t="s">
        <v>136</v>
      </c>
    </row>
    <row r="38" spans="1:14">
      <c r="A38" s="1" t="s">
        <v>334</v>
      </c>
      <c r="B38" s="1" t="s">
        <v>184</v>
      </c>
      <c r="C38" s="1">
        <v>45</v>
      </c>
      <c r="D38" s="1">
        <v>48</v>
      </c>
      <c r="E38" s="1">
        <v>62</v>
      </c>
      <c r="F38" s="1">
        <v>62</v>
      </c>
      <c r="G38" s="1">
        <v>37</v>
      </c>
      <c r="H38" s="1">
        <v>92</v>
      </c>
      <c r="I38" s="1">
        <v>94</v>
      </c>
      <c r="J38" s="1">
        <v>93</v>
      </c>
      <c r="K38" s="1">
        <v>92</v>
      </c>
      <c r="L38" s="1">
        <v>625</v>
      </c>
      <c r="M38" s="54">
        <f t="shared" si="0"/>
        <v>0.69444444444444442</v>
      </c>
      <c r="N38" s="1" t="s">
        <v>136</v>
      </c>
    </row>
    <row r="39" spans="1:14">
      <c r="A39" s="1" t="s">
        <v>335</v>
      </c>
      <c r="B39" s="1" t="s">
        <v>185</v>
      </c>
      <c r="C39" s="1">
        <v>20</v>
      </c>
      <c r="D39" s="1">
        <v>75</v>
      </c>
      <c r="E39" s="1">
        <v>56</v>
      </c>
      <c r="F39" s="1">
        <v>42</v>
      </c>
      <c r="G39" s="1">
        <v>49</v>
      </c>
      <c r="H39" s="1">
        <v>91</v>
      </c>
      <c r="I39" s="1">
        <v>95</v>
      </c>
      <c r="J39" s="1">
        <v>93</v>
      </c>
      <c r="K39" s="1">
        <v>93</v>
      </c>
      <c r="L39" s="1">
        <v>614</v>
      </c>
      <c r="M39" s="54">
        <f t="shared" si="0"/>
        <v>0.68222222222222217</v>
      </c>
      <c r="N39" s="1" t="s">
        <v>450</v>
      </c>
    </row>
    <row r="40" spans="1:14">
      <c r="A40" s="1" t="s">
        <v>336</v>
      </c>
      <c r="B40" s="1" t="s">
        <v>186</v>
      </c>
      <c r="C40" s="1">
        <v>80</v>
      </c>
      <c r="D40" s="1">
        <v>87</v>
      </c>
      <c r="E40" s="1">
        <v>72</v>
      </c>
      <c r="F40" s="1">
        <v>84</v>
      </c>
      <c r="G40" s="1">
        <v>73</v>
      </c>
      <c r="H40" s="1">
        <v>99</v>
      </c>
      <c r="I40" s="1">
        <v>99</v>
      </c>
      <c r="J40" s="1">
        <v>99</v>
      </c>
      <c r="K40" s="1">
        <v>98</v>
      </c>
      <c r="L40" s="1">
        <v>791</v>
      </c>
      <c r="M40" s="54">
        <f t="shared" si="0"/>
        <v>0.87888888888888894</v>
      </c>
      <c r="N40" s="1" t="s">
        <v>136</v>
      </c>
    </row>
    <row r="41" spans="1:14">
      <c r="A41" s="1" t="s">
        <v>337</v>
      </c>
      <c r="B41" s="1" t="s">
        <v>187</v>
      </c>
      <c r="C41" s="1">
        <v>84</v>
      </c>
      <c r="D41" s="1">
        <v>83</v>
      </c>
      <c r="E41" s="1">
        <v>42</v>
      </c>
      <c r="F41" s="1">
        <v>74</v>
      </c>
      <c r="G41" s="1">
        <v>42</v>
      </c>
      <c r="H41" s="1">
        <v>92</v>
      </c>
      <c r="I41" s="1">
        <v>96</v>
      </c>
      <c r="J41" s="1">
        <v>94</v>
      </c>
      <c r="K41" s="1">
        <v>96</v>
      </c>
      <c r="L41" s="1">
        <v>703</v>
      </c>
      <c r="M41" s="54">
        <f t="shared" si="0"/>
        <v>0.78111111111111109</v>
      </c>
      <c r="N41" s="1" t="s">
        <v>136</v>
      </c>
    </row>
    <row r="42" spans="1:14">
      <c r="A42" s="1" t="s">
        <v>338</v>
      </c>
      <c r="B42" s="1" t="s">
        <v>188</v>
      </c>
      <c r="C42" s="1">
        <v>55</v>
      </c>
      <c r="D42" s="1">
        <v>54</v>
      </c>
      <c r="E42" s="1">
        <v>38</v>
      </c>
      <c r="F42" s="1">
        <v>68</v>
      </c>
      <c r="G42" s="1">
        <v>22</v>
      </c>
      <c r="H42" s="1">
        <v>92</v>
      </c>
      <c r="I42" s="1">
        <v>95</v>
      </c>
      <c r="J42" s="1">
        <v>94</v>
      </c>
      <c r="K42" s="1">
        <v>93</v>
      </c>
      <c r="L42" s="1">
        <v>611</v>
      </c>
      <c r="M42" s="54">
        <f t="shared" si="0"/>
        <v>0.67888888888888888</v>
      </c>
      <c r="N42" s="1" t="s">
        <v>451</v>
      </c>
    </row>
    <row r="43" spans="1:14">
      <c r="A43" s="1" t="s">
        <v>339</v>
      </c>
      <c r="B43" s="1" t="s">
        <v>189</v>
      </c>
      <c r="C43" s="1">
        <v>97</v>
      </c>
      <c r="D43" s="1">
        <v>51</v>
      </c>
      <c r="E43" s="1">
        <v>55</v>
      </c>
      <c r="F43" s="1">
        <v>72</v>
      </c>
      <c r="G43" s="1">
        <v>31</v>
      </c>
      <c r="H43" s="1">
        <v>95</v>
      </c>
      <c r="I43" s="1">
        <v>97</v>
      </c>
      <c r="J43" s="1">
        <v>97</v>
      </c>
      <c r="K43" s="1">
        <v>97</v>
      </c>
      <c r="L43" s="1">
        <v>692</v>
      </c>
      <c r="M43" s="54">
        <f t="shared" si="0"/>
        <v>0.76888888888888884</v>
      </c>
      <c r="N43" s="1" t="s">
        <v>445</v>
      </c>
    </row>
    <row r="44" spans="1:14">
      <c r="A44" s="1" t="s">
        <v>340</v>
      </c>
      <c r="B44" s="1" t="s">
        <v>190</v>
      </c>
      <c r="C44" s="1">
        <v>61</v>
      </c>
      <c r="D44" s="1">
        <v>67</v>
      </c>
      <c r="E44" s="1">
        <v>61</v>
      </c>
      <c r="F44" s="1">
        <v>80</v>
      </c>
      <c r="G44" s="1">
        <v>58</v>
      </c>
      <c r="H44" s="1">
        <v>89</v>
      </c>
      <c r="I44" s="1">
        <v>93</v>
      </c>
      <c r="J44" s="1">
        <v>94</v>
      </c>
      <c r="K44" s="1">
        <v>93</v>
      </c>
      <c r="L44" s="1">
        <v>696</v>
      </c>
      <c r="M44" s="54">
        <f t="shared" si="0"/>
        <v>0.77333333333333332</v>
      </c>
      <c r="N44" s="1" t="s">
        <v>136</v>
      </c>
    </row>
    <row r="45" spans="1:14">
      <c r="A45" s="1" t="s">
        <v>341</v>
      </c>
      <c r="B45" s="1" t="s">
        <v>191</v>
      </c>
      <c r="C45" s="1">
        <v>68</v>
      </c>
      <c r="D45" s="1">
        <v>59</v>
      </c>
      <c r="E45" s="1">
        <v>57</v>
      </c>
      <c r="F45" s="1">
        <v>73</v>
      </c>
      <c r="G45" s="1">
        <v>62</v>
      </c>
      <c r="H45" s="1">
        <v>89</v>
      </c>
      <c r="I45" s="1">
        <v>94</v>
      </c>
      <c r="J45" s="1">
        <v>93</v>
      </c>
      <c r="K45" s="1">
        <v>92</v>
      </c>
      <c r="L45" s="1">
        <v>687</v>
      </c>
      <c r="M45" s="54">
        <f t="shared" si="0"/>
        <v>0.76333333333333331</v>
      </c>
      <c r="N45" s="1" t="s">
        <v>136</v>
      </c>
    </row>
    <row r="46" spans="1:14">
      <c r="A46" s="1" t="s">
        <v>342</v>
      </c>
      <c r="B46" s="1" t="s">
        <v>192</v>
      </c>
      <c r="C46" s="1">
        <v>95</v>
      </c>
      <c r="D46" s="1">
        <v>79</v>
      </c>
      <c r="E46" s="1">
        <v>63</v>
      </c>
      <c r="F46" s="1">
        <v>81</v>
      </c>
      <c r="G46" s="1">
        <v>84</v>
      </c>
      <c r="H46" s="1">
        <v>96</v>
      </c>
      <c r="I46" s="1">
        <v>97</v>
      </c>
      <c r="J46" s="1">
        <v>97</v>
      </c>
      <c r="K46" s="1">
        <v>97</v>
      </c>
      <c r="L46" s="1">
        <v>789</v>
      </c>
      <c r="M46" s="54">
        <f t="shared" si="0"/>
        <v>0.87666666666666671</v>
      </c>
      <c r="N46" s="1" t="s">
        <v>136</v>
      </c>
    </row>
    <row r="47" spans="1:14">
      <c r="A47" s="1" t="s">
        <v>343</v>
      </c>
      <c r="B47" s="1" t="s">
        <v>193</v>
      </c>
      <c r="C47" s="1">
        <v>46</v>
      </c>
      <c r="D47" s="1">
        <v>36</v>
      </c>
      <c r="E47" s="1">
        <v>53</v>
      </c>
      <c r="F47" s="1">
        <v>64</v>
      </c>
      <c r="G47" s="1">
        <v>56</v>
      </c>
      <c r="H47" s="1">
        <v>91</v>
      </c>
      <c r="I47" s="1">
        <v>94</v>
      </c>
      <c r="J47" s="1">
        <v>93</v>
      </c>
      <c r="K47" s="1">
        <v>93</v>
      </c>
      <c r="L47" s="1">
        <v>626</v>
      </c>
      <c r="M47" s="54">
        <f t="shared" si="0"/>
        <v>0.69555555555555559</v>
      </c>
      <c r="N47" s="1" t="s">
        <v>136</v>
      </c>
    </row>
    <row r="48" spans="1:14">
      <c r="A48" s="1" t="s">
        <v>344</v>
      </c>
      <c r="B48" s="1" t="s">
        <v>345</v>
      </c>
      <c r="C48" s="1">
        <v>53</v>
      </c>
      <c r="D48" s="1">
        <v>42</v>
      </c>
      <c r="E48" s="1">
        <v>48</v>
      </c>
      <c r="F48" s="1">
        <v>43</v>
      </c>
      <c r="G48" s="1">
        <v>13</v>
      </c>
      <c r="H48" s="1">
        <v>89</v>
      </c>
      <c r="I48" s="1">
        <v>95</v>
      </c>
      <c r="J48" s="1">
        <v>93</v>
      </c>
      <c r="K48" s="1">
        <v>90</v>
      </c>
      <c r="L48" s="1">
        <v>566</v>
      </c>
      <c r="M48" s="54">
        <f t="shared" si="0"/>
        <v>0.62888888888888894</v>
      </c>
      <c r="N48" s="1" t="s">
        <v>445</v>
      </c>
    </row>
    <row r="49" spans="1:14">
      <c r="A49" s="1" t="s">
        <v>346</v>
      </c>
      <c r="B49" s="1" t="s">
        <v>347</v>
      </c>
      <c r="C49" s="1">
        <v>41</v>
      </c>
      <c r="D49" s="1">
        <v>37</v>
      </c>
      <c r="E49" s="1">
        <v>50</v>
      </c>
      <c r="F49" s="1">
        <v>26</v>
      </c>
      <c r="G49" s="1">
        <v>9</v>
      </c>
      <c r="H49" s="1">
        <v>90</v>
      </c>
      <c r="I49" s="1">
        <v>90</v>
      </c>
      <c r="J49" s="1">
        <v>91</v>
      </c>
      <c r="K49" s="1">
        <v>85</v>
      </c>
      <c r="L49" s="1">
        <v>519</v>
      </c>
      <c r="M49" s="54">
        <f t="shared" si="0"/>
        <v>0.57666666666666666</v>
      </c>
      <c r="N49" s="1" t="s">
        <v>452</v>
      </c>
    </row>
    <row r="50" spans="1:14">
      <c r="A50" s="1" t="s">
        <v>348</v>
      </c>
      <c r="B50" s="1" t="s">
        <v>196</v>
      </c>
      <c r="C50" s="1">
        <v>40</v>
      </c>
      <c r="D50" s="1">
        <v>42</v>
      </c>
      <c r="E50" s="1">
        <v>46</v>
      </c>
      <c r="F50" s="1">
        <v>23</v>
      </c>
      <c r="G50" s="1">
        <v>16</v>
      </c>
      <c r="H50" s="1">
        <v>91</v>
      </c>
      <c r="I50" s="1">
        <v>96</v>
      </c>
      <c r="J50" s="1">
        <v>94</v>
      </c>
      <c r="K50" s="1">
        <v>91</v>
      </c>
      <c r="L50" s="1">
        <v>539</v>
      </c>
      <c r="M50" s="54">
        <f t="shared" si="0"/>
        <v>0.59888888888888892</v>
      </c>
      <c r="N50" s="1" t="s">
        <v>453</v>
      </c>
    </row>
    <row r="51" spans="1:14">
      <c r="A51" s="1" t="s">
        <v>349</v>
      </c>
      <c r="B51" s="1" t="s">
        <v>350</v>
      </c>
      <c r="C51" s="1">
        <v>80</v>
      </c>
      <c r="D51" s="1">
        <v>67</v>
      </c>
      <c r="E51" s="1">
        <v>64</v>
      </c>
      <c r="F51" s="1">
        <v>64</v>
      </c>
      <c r="G51" s="1">
        <v>67</v>
      </c>
      <c r="H51" s="1">
        <v>92</v>
      </c>
      <c r="I51" s="1">
        <v>98</v>
      </c>
      <c r="J51" s="1">
        <v>97</v>
      </c>
      <c r="K51" s="1">
        <v>96</v>
      </c>
      <c r="L51" s="1">
        <v>725</v>
      </c>
      <c r="M51" s="54">
        <f t="shared" si="0"/>
        <v>0.80555555555555558</v>
      </c>
      <c r="N51" s="1" t="s">
        <v>136</v>
      </c>
    </row>
    <row r="52" spans="1:14">
      <c r="A52" s="1" t="s">
        <v>351</v>
      </c>
      <c r="B52" s="1" t="s">
        <v>198</v>
      </c>
      <c r="C52" s="1">
        <v>32</v>
      </c>
      <c r="D52" s="1">
        <v>36</v>
      </c>
      <c r="E52" s="1">
        <v>56</v>
      </c>
      <c r="F52" s="1">
        <v>44</v>
      </c>
      <c r="G52" s="1">
        <v>36</v>
      </c>
      <c r="H52" s="1">
        <v>91</v>
      </c>
      <c r="I52" s="1">
        <v>95</v>
      </c>
      <c r="J52" s="1">
        <v>95</v>
      </c>
      <c r="K52" s="1">
        <v>93</v>
      </c>
      <c r="L52" s="1">
        <v>578</v>
      </c>
      <c r="M52" s="54">
        <f t="shared" si="0"/>
        <v>0.64222222222222225</v>
      </c>
      <c r="N52" s="1" t="s">
        <v>450</v>
      </c>
    </row>
    <row r="53" spans="1:14">
      <c r="A53" s="1" t="s">
        <v>352</v>
      </c>
      <c r="B53" s="1" t="s">
        <v>199</v>
      </c>
      <c r="C53" s="1">
        <v>99</v>
      </c>
      <c r="D53" s="1">
        <v>94</v>
      </c>
      <c r="E53" s="1">
        <v>83</v>
      </c>
      <c r="F53" s="1">
        <v>75</v>
      </c>
      <c r="G53" s="1">
        <v>69</v>
      </c>
      <c r="H53" s="1">
        <v>100</v>
      </c>
      <c r="I53" s="1">
        <v>99</v>
      </c>
      <c r="J53" s="1">
        <v>100</v>
      </c>
      <c r="K53" s="1">
        <v>99</v>
      </c>
      <c r="L53" s="1">
        <v>818</v>
      </c>
      <c r="M53" s="54">
        <f t="shared" si="0"/>
        <v>0.90888888888888886</v>
      </c>
      <c r="N53" s="1" t="s">
        <v>136</v>
      </c>
    </row>
    <row r="54" spans="1:14">
      <c r="A54" s="1" t="s">
        <v>353</v>
      </c>
      <c r="B54" s="1" t="s">
        <v>200</v>
      </c>
      <c r="C54" s="1">
        <v>65</v>
      </c>
      <c r="D54" s="1">
        <v>46</v>
      </c>
      <c r="E54" s="1">
        <v>69</v>
      </c>
      <c r="F54" s="1">
        <v>67</v>
      </c>
      <c r="G54" s="1">
        <v>57</v>
      </c>
      <c r="H54" s="1">
        <v>96</v>
      </c>
      <c r="I54" s="1">
        <v>96</v>
      </c>
      <c r="J54" s="1">
        <v>95</v>
      </c>
      <c r="K54" s="1">
        <v>93</v>
      </c>
      <c r="L54" s="1">
        <v>684</v>
      </c>
      <c r="M54" s="54">
        <f t="shared" si="0"/>
        <v>0.76</v>
      </c>
      <c r="N54" s="1" t="s">
        <v>136</v>
      </c>
    </row>
    <row r="55" spans="1:14">
      <c r="A55" s="1" t="s">
        <v>354</v>
      </c>
      <c r="B55" s="1" t="s">
        <v>201</v>
      </c>
      <c r="C55" s="1">
        <v>77</v>
      </c>
      <c r="D55" s="1">
        <v>53</v>
      </c>
      <c r="E55" s="1">
        <v>45</v>
      </c>
      <c r="F55" s="1">
        <v>35</v>
      </c>
      <c r="G55" s="1">
        <v>20</v>
      </c>
      <c r="H55" s="1">
        <v>91</v>
      </c>
      <c r="I55" s="1">
        <v>93</v>
      </c>
      <c r="J55" s="1">
        <v>94</v>
      </c>
      <c r="K55" s="1">
        <v>87</v>
      </c>
      <c r="L55" s="1">
        <v>595</v>
      </c>
      <c r="M55" s="54">
        <f t="shared" si="0"/>
        <v>0.66111111111111109</v>
      </c>
      <c r="N55" s="1" t="s">
        <v>445</v>
      </c>
    </row>
    <row r="56" spans="1:14">
      <c r="A56" s="1" t="s">
        <v>355</v>
      </c>
      <c r="B56" s="1" t="s">
        <v>202</v>
      </c>
      <c r="C56" s="1">
        <v>57</v>
      </c>
      <c r="D56" s="1">
        <v>48</v>
      </c>
      <c r="E56" s="1">
        <v>54</v>
      </c>
      <c r="F56" s="1">
        <v>36</v>
      </c>
      <c r="G56" s="1">
        <v>57</v>
      </c>
      <c r="H56" s="1">
        <v>89</v>
      </c>
      <c r="I56" s="1">
        <v>93</v>
      </c>
      <c r="J56" s="1">
        <v>94</v>
      </c>
      <c r="K56" s="1">
        <v>89</v>
      </c>
      <c r="L56" s="1">
        <v>617</v>
      </c>
      <c r="M56" s="54">
        <f t="shared" si="0"/>
        <v>0.68555555555555558</v>
      </c>
      <c r="N56" s="1" t="s">
        <v>136</v>
      </c>
    </row>
    <row r="57" spans="1:14">
      <c r="A57" s="1" t="s">
        <v>356</v>
      </c>
      <c r="B57" s="1" t="s">
        <v>203</v>
      </c>
      <c r="C57" s="1">
        <v>70</v>
      </c>
      <c r="D57" s="1">
        <v>68</v>
      </c>
      <c r="E57" s="1">
        <v>80</v>
      </c>
      <c r="F57" s="1">
        <v>51</v>
      </c>
      <c r="G57" s="1">
        <v>77</v>
      </c>
      <c r="H57" s="1">
        <v>97</v>
      </c>
      <c r="I57" s="1">
        <v>98</v>
      </c>
      <c r="J57" s="1">
        <v>98</v>
      </c>
      <c r="K57" s="1">
        <v>98</v>
      </c>
      <c r="L57" s="1">
        <v>737</v>
      </c>
      <c r="M57" s="54">
        <f t="shared" si="0"/>
        <v>0.81888888888888889</v>
      </c>
      <c r="N57" s="1" t="s">
        <v>136</v>
      </c>
    </row>
    <row r="58" spans="1:14">
      <c r="A58" s="1" t="s">
        <v>357</v>
      </c>
      <c r="B58" s="1" t="s">
        <v>204</v>
      </c>
      <c r="C58" s="1">
        <v>95</v>
      </c>
      <c r="D58" s="1">
        <v>87</v>
      </c>
      <c r="E58" s="1">
        <v>70</v>
      </c>
      <c r="F58" s="1">
        <v>78</v>
      </c>
      <c r="G58" s="1">
        <v>87</v>
      </c>
      <c r="H58" s="1">
        <v>97</v>
      </c>
      <c r="I58" s="1">
        <v>98</v>
      </c>
      <c r="J58" s="1">
        <v>98</v>
      </c>
      <c r="K58" s="1">
        <v>98</v>
      </c>
      <c r="L58" s="1">
        <v>808</v>
      </c>
      <c r="M58" s="54">
        <f t="shared" si="0"/>
        <v>0.89777777777777779</v>
      </c>
      <c r="N58" s="1" t="s">
        <v>136</v>
      </c>
    </row>
    <row r="59" spans="1:14">
      <c r="A59" s="1" t="s">
        <v>358</v>
      </c>
      <c r="B59" s="1" t="s">
        <v>359</v>
      </c>
      <c r="C59" s="1">
        <v>80</v>
      </c>
      <c r="D59" s="1">
        <v>57</v>
      </c>
      <c r="E59" s="1">
        <v>72</v>
      </c>
      <c r="F59" s="1">
        <v>56</v>
      </c>
      <c r="G59" s="1">
        <v>72</v>
      </c>
      <c r="H59" s="1">
        <v>96</v>
      </c>
      <c r="I59" s="1">
        <v>97</v>
      </c>
      <c r="J59" s="1">
        <v>94</v>
      </c>
      <c r="K59" s="1">
        <v>91</v>
      </c>
      <c r="L59" s="1">
        <v>715</v>
      </c>
      <c r="M59" s="54">
        <f t="shared" si="0"/>
        <v>0.7944444444444444</v>
      </c>
      <c r="N59" s="1" t="s">
        <v>136</v>
      </c>
    </row>
    <row r="60" spans="1:14">
      <c r="A60" s="1" t="s">
        <v>360</v>
      </c>
      <c r="B60" s="1" t="s">
        <v>206</v>
      </c>
      <c r="C60" s="1">
        <v>45</v>
      </c>
      <c r="D60" s="1">
        <v>43</v>
      </c>
      <c r="E60" s="1">
        <v>61</v>
      </c>
      <c r="F60" s="1">
        <v>62</v>
      </c>
      <c r="G60" s="1">
        <v>49</v>
      </c>
      <c r="H60" s="1">
        <v>95</v>
      </c>
      <c r="I60" s="1">
        <v>96</v>
      </c>
      <c r="J60" s="1">
        <v>97</v>
      </c>
      <c r="K60" s="1">
        <v>95</v>
      </c>
      <c r="L60" s="1">
        <v>643</v>
      </c>
      <c r="M60" s="54">
        <f t="shared" si="0"/>
        <v>0.71444444444444444</v>
      </c>
      <c r="N60" s="1" t="s">
        <v>136</v>
      </c>
    </row>
    <row r="61" spans="1:14">
      <c r="A61" s="1" t="s">
        <v>361</v>
      </c>
      <c r="B61" s="1" t="s">
        <v>207</v>
      </c>
      <c r="C61" s="1">
        <v>57</v>
      </c>
      <c r="D61" s="1">
        <v>50</v>
      </c>
      <c r="E61" s="1">
        <v>46</v>
      </c>
      <c r="F61" s="1">
        <v>47</v>
      </c>
      <c r="G61" s="1">
        <v>49</v>
      </c>
      <c r="H61" s="1">
        <v>97</v>
      </c>
      <c r="I61" s="1">
        <v>97</v>
      </c>
      <c r="J61" s="1">
        <v>97</v>
      </c>
      <c r="K61" s="1">
        <v>93</v>
      </c>
      <c r="L61" s="1">
        <v>633</v>
      </c>
      <c r="M61" s="54">
        <f t="shared" si="0"/>
        <v>0.70333333333333337</v>
      </c>
      <c r="N61" s="1" t="s">
        <v>136</v>
      </c>
    </row>
    <row r="62" spans="1:14">
      <c r="A62" s="1" t="s">
        <v>362</v>
      </c>
      <c r="B62" s="1" t="s">
        <v>363</v>
      </c>
      <c r="C62" s="1">
        <v>95</v>
      </c>
      <c r="D62" s="1">
        <v>58</v>
      </c>
      <c r="E62" s="1">
        <v>54</v>
      </c>
      <c r="F62" s="1">
        <v>48</v>
      </c>
      <c r="G62" s="1">
        <v>63</v>
      </c>
      <c r="H62" s="1">
        <v>93</v>
      </c>
      <c r="I62" s="1">
        <v>98</v>
      </c>
      <c r="J62" s="1">
        <v>95</v>
      </c>
      <c r="K62" s="1">
        <v>94</v>
      </c>
      <c r="L62" s="1">
        <v>698</v>
      </c>
      <c r="M62" s="54">
        <f t="shared" si="0"/>
        <v>0.77555555555555555</v>
      </c>
      <c r="N62" s="1" t="s">
        <v>136</v>
      </c>
    </row>
    <row r="63" spans="1:14">
      <c r="A63" s="1" t="s">
        <v>364</v>
      </c>
      <c r="B63" s="1" t="s">
        <v>209</v>
      </c>
      <c r="C63" s="1">
        <v>95</v>
      </c>
      <c r="D63" s="1">
        <v>90</v>
      </c>
      <c r="E63" s="1">
        <v>94</v>
      </c>
      <c r="F63" s="1">
        <v>58</v>
      </c>
      <c r="G63" s="1">
        <v>93</v>
      </c>
      <c r="H63" s="1">
        <v>100</v>
      </c>
      <c r="I63" s="1">
        <v>100</v>
      </c>
      <c r="J63" s="1">
        <v>100</v>
      </c>
      <c r="K63" s="1">
        <v>99</v>
      </c>
      <c r="L63" s="1">
        <v>829</v>
      </c>
      <c r="M63" s="54">
        <f t="shared" si="0"/>
        <v>0.9211111111111111</v>
      </c>
      <c r="N63" s="1" t="s">
        <v>136</v>
      </c>
    </row>
    <row r="64" spans="1:14">
      <c r="A64" s="1" t="s">
        <v>365</v>
      </c>
      <c r="B64" s="1" t="s">
        <v>210</v>
      </c>
      <c r="C64" s="1">
        <v>16</v>
      </c>
      <c r="D64" s="1">
        <v>35</v>
      </c>
      <c r="E64" s="1">
        <v>58</v>
      </c>
      <c r="F64" s="1">
        <v>21</v>
      </c>
      <c r="G64" s="1">
        <v>26</v>
      </c>
      <c r="H64" s="1">
        <v>87</v>
      </c>
      <c r="I64" s="1">
        <v>89</v>
      </c>
      <c r="J64" s="1">
        <v>90</v>
      </c>
      <c r="K64" s="1">
        <v>88</v>
      </c>
      <c r="L64" s="1">
        <v>510</v>
      </c>
      <c r="M64" s="54">
        <f t="shared" si="0"/>
        <v>0.56666666666666665</v>
      </c>
      <c r="N64" s="1" t="s">
        <v>454</v>
      </c>
    </row>
    <row r="65" spans="1:14">
      <c r="A65" s="1" t="s">
        <v>366</v>
      </c>
      <c r="B65" s="1" t="s">
        <v>211</v>
      </c>
      <c r="C65" s="1">
        <v>53</v>
      </c>
      <c r="D65" s="1">
        <v>40</v>
      </c>
      <c r="E65" s="1">
        <v>49</v>
      </c>
      <c r="F65" s="1">
        <v>36</v>
      </c>
      <c r="G65" s="1">
        <v>15</v>
      </c>
      <c r="H65" s="1">
        <v>95</v>
      </c>
      <c r="I65" s="1">
        <v>94</v>
      </c>
      <c r="J65" s="1">
        <v>95</v>
      </c>
      <c r="K65" s="1">
        <v>94</v>
      </c>
      <c r="L65" s="1">
        <v>571</v>
      </c>
      <c r="M65" s="54">
        <f t="shared" si="0"/>
        <v>0.63444444444444448</v>
      </c>
      <c r="N65" s="1" t="s">
        <v>445</v>
      </c>
    </row>
    <row r="66" spans="1:14">
      <c r="A66" s="1" t="s">
        <v>367</v>
      </c>
      <c r="B66" s="1" t="s">
        <v>212</v>
      </c>
      <c r="C66" s="1">
        <v>70</v>
      </c>
      <c r="D66" s="1">
        <v>65</v>
      </c>
      <c r="E66" s="1">
        <v>51</v>
      </c>
      <c r="F66" s="1">
        <v>58</v>
      </c>
      <c r="G66" s="1">
        <v>18</v>
      </c>
      <c r="H66" s="1">
        <v>92</v>
      </c>
      <c r="I66" s="1">
        <v>94</v>
      </c>
      <c r="J66" s="1">
        <v>93</v>
      </c>
      <c r="K66" s="1">
        <v>92</v>
      </c>
      <c r="L66" s="1">
        <v>633</v>
      </c>
      <c r="M66" s="54">
        <f t="shared" si="0"/>
        <v>0.70333333333333337</v>
      </c>
      <c r="N66" s="1" t="s">
        <v>445</v>
      </c>
    </row>
    <row r="67" spans="1:14">
      <c r="A67" s="1" t="s">
        <v>368</v>
      </c>
      <c r="B67" s="1" t="s">
        <v>213</v>
      </c>
      <c r="C67" s="1">
        <v>96</v>
      </c>
      <c r="D67" s="1">
        <v>86</v>
      </c>
      <c r="E67" s="1">
        <v>80</v>
      </c>
      <c r="F67" s="1">
        <v>79</v>
      </c>
      <c r="G67" s="1">
        <v>78</v>
      </c>
      <c r="H67" s="1">
        <v>100</v>
      </c>
      <c r="I67" s="1">
        <v>100</v>
      </c>
      <c r="J67" s="1">
        <v>100</v>
      </c>
      <c r="K67" s="1">
        <v>100</v>
      </c>
      <c r="L67" s="1">
        <v>819</v>
      </c>
      <c r="M67" s="54">
        <f t="shared" si="0"/>
        <v>0.91</v>
      </c>
      <c r="N67" s="1" t="s">
        <v>136</v>
      </c>
    </row>
    <row r="68" spans="1:14">
      <c r="A68" s="1" t="s">
        <v>369</v>
      </c>
      <c r="B68" s="1" t="s">
        <v>214</v>
      </c>
      <c r="C68" s="1">
        <v>16</v>
      </c>
      <c r="D68" s="1">
        <v>17</v>
      </c>
      <c r="E68" s="1">
        <v>44</v>
      </c>
      <c r="F68" s="1">
        <v>10</v>
      </c>
      <c r="G68" s="1">
        <v>11</v>
      </c>
      <c r="H68" s="1">
        <v>88</v>
      </c>
      <c r="I68" s="1">
        <v>90</v>
      </c>
      <c r="J68" s="1" t="s">
        <v>370</v>
      </c>
      <c r="K68" s="1">
        <v>89</v>
      </c>
      <c r="L68" s="1">
        <v>401</v>
      </c>
      <c r="M68" s="54">
        <f t="shared" ref="M68:M131" si="1">(L68/900)</f>
        <v>0.44555555555555554</v>
      </c>
      <c r="N68" s="1" t="s">
        <v>443</v>
      </c>
    </row>
    <row r="69" spans="1:14">
      <c r="A69" s="1" t="s">
        <v>371</v>
      </c>
      <c r="B69" s="1" t="s">
        <v>215</v>
      </c>
      <c r="C69" s="1">
        <v>78</v>
      </c>
      <c r="D69" s="1">
        <v>46</v>
      </c>
      <c r="E69" s="1">
        <v>51</v>
      </c>
      <c r="F69" s="1">
        <v>48</v>
      </c>
      <c r="G69" s="1">
        <v>50</v>
      </c>
      <c r="H69" s="1">
        <v>90</v>
      </c>
      <c r="I69" s="1">
        <v>92</v>
      </c>
      <c r="J69" s="1">
        <v>93</v>
      </c>
      <c r="K69" s="1">
        <v>92</v>
      </c>
      <c r="L69" s="1">
        <v>640</v>
      </c>
      <c r="M69" s="54">
        <f t="shared" si="1"/>
        <v>0.71111111111111114</v>
      </c>
      <c r="N69" s="1" t="s">
        <v>136</v>
      </c>
    </row>
    <row r="70" spans="1:14">
      <c r="A70" s="1" t="s">
        <v>372</v>
      </c>
      <c r="B70" s="1" t="s">
        <v>216</v>
      </c>
      <c r="C70" s="1">
        <v>34</v>
      </c>
      <c r="D70" s="1">
        <v>50</v>
      </c>
      <c r="E70" s="1">
        <v>52</v>
      </c>
      <c r="F70" s="1">
        <v>63</v>
      </c>
      <c r="G70" s="1">
        <v>41</v>
      </c>
      <c r="H70" s="1">
        <v>97</v>
      </c>
      <c r="I70" s="1">
        <v>98</v>
      </c>
      <c r="J70" s="1">
        <v>98</v>
      </c>
      <c r="K70" s="1">
        <v>97</v>
      </c>
      <c r="L70" s="1">
        <v>630</v>
      </c>
      <c r="M70" s="54">
        <f t="shared" si="1"/>
        <v>0.7</v>
      </c>
      <c r="N70" s="1" t="s">
        <v>450</v>
      </c>
    </row>
    <row r="71" spans="1:14">
      <c r="A71" s="1" t="s">
        <v>373</v>
      </c>
      <c r="B71" s="1" t="s">
        <v>217</v>
      </c>
      <c r="C71" s="1">
        <v>97</v>
      </c>
      <c r="D71" s="1">
        <v>88</v>
      </c>
      <c r="E71" s="1">
        <v>87</v>
      </c>
      <c r="F71" s="1">
        <v>80</v>
      </c>
      <c r="G71" s="1">
        <v>90</v>
      </c>
      <c r="H71" s="1">
        <v>100</v>
      </c>
      <c r="I71" s="1">
        <v>100</v>
      </c>
      <c r="J71" s="1">
        <v>100</v>
      </c>
      <c r="K71" s="1">
        <v>100</v>
      </c>
      <c r="L71" s="1">
        <v>842</v>
      </c>
      <c r="M71" s="54">
        <f t="shared" si="1"/>
        <v>0.93555555555555558</v>
      </c>
      <c r="N71" s="1" t="s">
        <v>136</v>
      </c>
    </row>
    <row r="72" spans="1:14">
      <c r="A72" s="1" t="s">
        <v>374</v>
      </c>
      <c r="B72" s="1" t="s">
        <v>375</v>
      </c>
      <c r="C72" s="1">
        <v>90</v>
      </c>
      <c r="D72" s="1">
        <v>77</v>
      </c>
      <c r="E72" s="1">
        <v>95</v>
      </c>
      <c r="F72" s="1">
        <v>88</v>
      </c>
      <c r="G72" s="1">
        <v>74</v>
      </c>
      <c r="H72" s="1">
        <v>100</v>
      </c>
      <c r="I72" s="1">
        <v>100</v>
      </c>
      <c r="J72" s="1">
        <v>100</v>
      </c>
      <c r="K72" s="1">
        <v>100</v>
      </c>
      <c r="L72" s="1">
        <v>824</v>
      </c>
      <c r="M72" s="54">
        <f t="shared" si="1"/>
        <v>0.91555555555555557</v>
      </c>
      <c r="N72" s="1" t="s">
        <v>136</v>
      </c>
    </row>
    <row r="73" spans="1:14">
      <c r="A73" s="1" t="s">
        <v>376</v>
      </c>
      <c r="B73" s="1" t="s">
        <v>219</v>
      </c>
      <c r="C73" s="1">
        <v>69</v>
      </c>
      <c r="D73" s="1">
        <v>51</v>
      </c>
      <c r="E73" s="1">
        <v>55</v>
      </c>
      <c r="F73" s="1">
        <v>60</v>
      </c>
      <c r="G73" s="1">
        <v>26</v>
      </c>
      <c r="H73" s="1">
        <v>97</v>
      </c>
      <c r="I73" s="1">
        <v>97</v>
      </c>
      <c r="J73" s="1">
        <v>96</v>
      </c>
      <c r="K73" s="1">
        <v>96</v>
      </c>
      <c r="L73" s="1">
        <v>647</v>
      </c>
      <c r="M73" s="54">
        <f t="shared" si="1"/>
        <v>0.71888888888888891</v>
      </c>
      <c r="N73" s="1" t="s">
        <v>445</v>
      </c>
    </row>
    <row r="74" spans="1:14">
      <c r="A74" s="1" t="s">
        <v>377</v>
      </c>
      <c r="B74" s="1" t="s">
        <v>220</v>
      </c>
      <c r="C74" s="1">
        <v>91</v>
      </c>
      <c r="D74" s="1">
        <v>92</v>
      </c>
      <c r="E74" s="1">
        <v>84</v>
      </c>
      <c r="F74" s="1">
        <v>96</v>
      </c>
      <c r="G74" s="1">
        <v>57</v>
      </c>
      <c r="H74" s="1">
        <v>97</v>
      </c>
      <c r="I74" s="1">
        <v>98</v>
      </c>
      <c r="J74" s="1">
        <v>98</v>
      </c>
      <c r="K74" s="1">
        <v>98</v>
      </c>
      <c r="L74" s="1">
        <v>811</v>
      </c>
      <c r="M74" s="54">
        <f t="shared" si="1"/>
        <v>0.90111111111111108</v>
      </c>
      <c r="N74" s="1" t="s">
        <v>136</v>
      </c>
    </row>
    <row r="75" spans="1:14">
      <c r="A75" s="1" t="s">
        <v>378</v>
      </c>
      <c r="B75" s="1" t="s">
        <v>221</v>
      </c>
      <c r="C75" s="1">
        <v>100</v>
      </c>
      <c r="D75" s="1">
        <v>99</v>
      </c>
      <c r="E75" s="1">
        <v>89</v>
      </c>
      <c r="F75" s="1">
        <v>88</v>
      </c>
      <c r="G75" s="1">
        <v>84</v>
      </c>
      <c r="H75" s="1">
        <v>100</v>
      </c>
      <c r="I75" s="1">
        <v>100</v>
      </c>
      <c r="J75" s="1">
        <v>100</v>
      </c>
      <c r="K75" s="1">
        <v>100</v>
      </c>
      <c r="L75" s="1">
        <v>860</v>
      </c>
      <c r="M75" s="54">
        <f t="shared" si="1"/>
        <v>0.9555555555555556</v>
      </c>
      <c r="N75" s="1" t="s">
        <v>136</v>
      </c>
    </row>
    <row r="76" spans="1:14">
      <c r="A76" s="1" t="s">
        <v>379</v>
      </c>
      <c r="B76" s="1" t="s">
        <v>222</v>
      </c>
      <c r="C76" s="1">
        <v>60</v>
      </c>
      <c r="D76" s="1">
        <v>59</v>
      </c>
      <c r="E76" s="1">
        <v>58</v>
      </c>
      <c r="F76" s="1">
        <v>81</v>
      </c>
      <c r="G76" s="1">
        <v>42</v>
      </c>
      <c r="H76" s="1">
        <v>94</v>
      </c>
      <c r="I76" s="1">
        <v>94</v>
      </c>
      <c r="J76" s="1">
        <v>95</v>
      </c>
      <c r="K76" s="1">
        <v>91</v>
      </c>
      <c r="L76" s="1">
        <v>674</v>
      </c>
      <c r="M76" s="54">
        <f t="shared" si="1"/>
        <v>0.74888888888888894</v>
      </c>
      <c r="N76" s="1" t="s">
        <v>136</v>
      </c>
    </row>
    <row r="77" spans="1:14">
      <c r="A77" s="1" t="s">
        <v>380</v>
      </c>
      <c r="B77" s="1" t="s">
        <v>223</v>
      </c>
      <c r="C77" s="1">
        <v>75</v>
      </c>
      <c r="D77" s="1">
        <v>55</v>
      </c>
      <c r="E77" s="1">
        <v>75</v>
      </c>
      <c r="F77" s="1">
        <v>88</v>
      </c>
      <c r="G77" s="1">
        <v>34</v>
      </c>
      <c r="H77" s="1">
        <v>97</v>
      </c>
      <c r="I77" s="1">
        <v>98</v>
      </c>
      <c r="J77" s="1">
        <v>98</v>
      </c>
      <c r="K77" s="1">
        <v>98</v>
      </c>
      <c r="L77" s="1">
        <v>718</v>
      </c>
      <c r="M77" s="54">
        <f t="shared" si="1"/>
        <v>0.79777777777777781</v>
      </c>
      <c r="N77" s="1" t="s">
        <v>445</v>
      </c>
    </row>
    <row r="78" spans="1:14">
      <c r="A78" s="1" t="s">
        <v>381</v>
      </c>
      <c r="B78" s="1" t="s">
        <v>224</v>
      </c>
      <c r="C78" s="1">
        <v>92</v>
      </c>
      <c r="D78" s="1">
        <v>85</v>
      </c>
      <c r="E78" s="1">
        <v>72</v>
      </c>
      <c r="F78" s="1">
        <v>89</v>
      </c>
      <c r="G78" s="1">
        <v>72</v>
      </c>
      <c r="H78" s="1">
        <v>98</v>
      </c>
      <c r="I78" s="1">
        <v>98</v>
      </c>
      <c r="J78" s="1">
        <v>97</v>
      </c>
      <c r="K78" s="1">
        <v>97</v>
      </c>
      <c r="L78" s="1">
        <v>800</v>
      </c>
      <c r="M78" s="54">
        <f t="shared" si="1"/>
        <v>0.88888888888888884</v>
      </c>
      <c r="N78" s="1" t="s">
        <v>136</v>
      </c>
    </row>
    <row r="79" spans="1:14">
      <c r="A79" s="1" t="s">
        <v>382</v>
      </c>
      <c r="B79" s="1" t="s">
        <v>225</v>
      </c>
      <c r="C79" s="1">
        <v>55</v>
      </c>
      <c r="D79" s="1">
        <v>35</v>
      </c>
      <c r="E79" s="1">
        <v>62</v>
      </c>
      <c r="F79" s="1">
        <v>51</v>
      </c>
      <c r="G79" s="1">
        <v>68</v>
      </c>
      <c r="H79" s="1">
        <v>93</v>
      </c>
      <c r="I79" s="1">
        <v>95</v>
      </c>
      <c r="J79" s="1">
        <v>95</v>
      </c>
      <c r="K79" s="1">
        <v>94</v>
      </c>
      <c r="L79" s="1">
        <v>648</v>
      </c>
      <c r="M79" s="54">
        <f t="shared" si="1"/>
        <v>0.72</v>
      </c>
      <c r="N79" s="1" t="s">
        <v>444</v>
      </c>
    </row>
    <row r="80" spans="1:14">
      <c r="A80" s="1" t="s">
        <v>383</v>
      </c>
      <c r="B80" s="1" t="s">
        <v>226</v>
      </c>
      <c r="C80" s="1">
        <v>15</v>
      </c>
      <c r="D80" s="1">
        <v>24</v>
      </c>
      <c r="E80" s="1">
        <v>53</v>
      </c>
      <c r="F80" s="1">
        <v>47</v>
      </c>
      <c r="G80" s="1">
        <v>13</v>
      </c>
      <c r="H80" s="1">
        <v>93</v>
      </c>
      <c r="I80" s="1">
        <v>94</v>
      </c>
      <c r="J80" s="1">
        <v>96</v>
      </c>
      <c r="K80" s="1">
        <v>94</v>
      </c>
      <c r="L80" s="1">
        <v>529</v>
      </c>
      <c r="M80" s="54">
        <f t="shared" si="1"/>
        <v>0.58777777777777773</v>
      </c>
      <c r="N80" s="1" t="s">
        <v>455</v>
      </c>
    </row>
    <row r="81" spans="1:14">
      <c r="A81" s="1" t="s">
        <v>384</v>
      </c>
      <c r="B81" s="1" t="s">
        <v>227</v>
      </c>
      <c r="C81" s="1">
        <v>99</v>
      </c>
      <c r="D81" s="1">
        <v>82</v>
      </c>
      <c r="E81" s="1">
        <v>82</v>
      </c>
      <c r="F81" s="1">
        <v>86</v>
      </c>
      <c r="G81" s="1">
        <v>58</v>
      </c>
      <c r="H81" s="1">
        <v>97</v>
      </c>
      <c r="I81" s="1">
        <v>96</v>
      </c>
      <c r="J81" s="1">
        <v>95</v>
      </c>
      <c r="K81" s="1">
        <v>96</v>
      </c>
      <c r="L81" s="1">
        <v>791</v>
      </c>
      <c r="M81" s="54">
        <f t="shared" si="1"/>
        <v>0.87888888888888894</v>
      </c>
      <c r="N81" s="1" t="s">
        <v>136</v>
      </c>
    </row>
    <row r="82" spans="1:14">
      <c r="A82" s="1" t="s">
        <v>385</v>
      </c>
      <c r="B82" s="1" t="s">
        <v>228</v>
      </c>
      <c r="C82" s="1">
        <v>44</v>
      </c>
      <c r="D82" s="1">
        <v>43</v>
      </c>
      <c r="E82" s="1">
        <v>54</v>
      </c>
      <c r="F82" s="1">
        <v>57</v>
      </c>
      <c r="G82" s="1">
        <v>8</v>
      </c>
      <c r="H82" s="1">
        <v>92</v>
      </c>
      <c r="I82" s="1">
        <v>94</v>
      </c>
      <c r="J82" s="1">
        <v>93</v>
      </c>
      <c r="K82" s="1">
        <v>93</v>
      </c>
      <c r="L82" s="1">
        <v>578</v>
      </c>
      <c r="M82" s="54">
        <f t="shared" si="1"/>
        <v>0.64222222222222225</v>
      </c>
      <c r="N82" s="1" t="s">
        <v>445</v>
      </c>
    </row>
    <row r="83" spans="1:14">
      <c r="A83" s="1" t="s">
        <v>386</v>
      </c>
      <c r="B83" s="1" t="s">
        <v>229</v>
      </c>
      <c r="C83" s="1">
        <v>88</v>
      </c>
      <c r="D83" s="1">
        <v>72</v>
      </c>
      <c r="E83" s="1">
        <v>63</v>
      </c>
      <c r="F83" s="1">
        <v>71</v>
      </c>
      <c r="G83" s="1">
        <v>42</v>
      </c>
      <c r="H83" s="1">
        <v>89</v>
      </c>
      <c r="I83" s="1">
        <v>92</v>
      </c>
      <c r="J83" s="1">
        <v>92</v>
      </c>
      <c r="K83" s="1">
        <v>91</v>
      </c>
      <c r="L83" s="1">
        <v>700</v>
      </c>
      <c r="M83" s="54">
        <f t="shared" si="1"/>
        <v>0.77777777777777779</v>
      </c>
      <c r="N83" s="1" t="s">
        <v>136</v>
      </c>
    </row>
    <row r="84" spans="1:14">
      <c r="A84" s="1" t="s">
        <v>387</v>
      </c>
      <c r="B84" s="1" t="s">
        <v>230</v>
      </c>
      <c r="C84" s="1">
        <v>74</v>
      </c>
      <c r="D84" s="1">
        <v>55</v>
      </c>
      <c r="E84" s="1">
        <v>61</v>
      </c>
      <c r="F84" s="1">
        <v>85</v>
      </c>
      <c r="G84" s="1">
        <v>61</v>
      </c>
      <c r="H84" s="1">
        <v>93</v>
      </c>
      <c r="I84" s="1">
        <v>95</v>
      </c>
      <c r="J84" s="1">
        <v>94</v>
      </c>
      <c r="K84" s="1">
        <v>93</v>
      </c>
      <c r="L84" s="1">
        <v>711</v>
      </c>
      <c r="M84" s="54">
        <f t="shared" si="1"/>
        <v>0.79</v>
      </c>
      <c r="N84" s="1" t="s">
        <v>136</v>
      </c>
    </row>
    <row r="85" spans="1:14">
      <c r="A85" s="1" t="s">
        <v>388</v>
      </c>
      <c r="B85" s="1" t="s">
        <v>231</v>
      </c>
      <c r="C85" s="1">
        <v>19</v>
      </c>
      <c r="D85" s="1">
        <v>15</v>
      </c>
      <c r="E85" s="1">
        <v>50</v>
      </c>
      <c r="F85" s="1">
        <v>50</v>
      </c>
      <c r="G85" s="1">
        <v>20</v>
      </c>
      <c r="H85" s="1">
        <v>90</v>
      </c>
      <c r="I85" s="1">
        <v>96</v>
      </c>
      <c r="J85" s="1">
        <v>93</v>
      </c>
      <c r="K85" s="1">
        <v>93</v>
      </c>
      <c r="L85" s="1">
        <v>526</v>
      </c>
      <c r="M85" s="54">
        <f t="shared" si="1"/>
        <v>0.58444444444444443</v>
      </c>
      <c r="N85" s="1" t="s">
        <v>455</v>
      </c>
    </row>
    <row r="86" spans="1:14">
      <c r="A86" s="1" t="s">
        <v>389</v>
      </c>
      <c r="B86" s="1" t="s">
        <v>232</v>
      </c>
      <c r="C86" s="1">
        <v>22</v>
      </c>
      <c r="D86" s="1">
        <v>28</v>
      </c>
      <c r="E86" s="1">
        <v>42</v>
      </c>
      <c r="F86" s="1">
        <v>38</v>
      </c>
      <c r="G86" s="1">
        <v>11</v>
      </c>
      <c r="H86" s="1">
        <v>90</v>
      </c>
      <c r="I86" s="1">
        <v>94</v>
      </c>
      <c r="J86" s="1">
        <v>95</v>
      </c>
      <c r="K86" s="1">
        <v>92</v>
      </c>
      <c r="L86" s="1">
        <v>512</v>
      </c>
      <c r="M86" s="54">
        <f t="shared" si="1"/>
        <v>0.56888888888888889</v>
      </c>
      <c r="N86" s="1" t="s">
        <v>455</v>
      </c>
    </row>
    <row r="87" spans="1:14">
      <c r="A87" s="1" t="s">
        <v>390</v>
      </c>
      <c r="B87" s="1" t="s">
        <v>233</v>
      </c>
      <c r="C87" s="1">
        <v>73</v>
      </c>
      <c r="D87" s="1">
        <v>67</v>
      </c>
      <c r="E87" s="1">
        <v>63</v>
      </c>
      <c r="F87" s="1">
        <v>85</v>
      </c>
      <c r="G87" s="1">
        <v>54</v>
      </c>
      <c r="H87" s="1">
        <v>93</v>
      </c>
      <c r="I87" s="1">
        <v>95</v>
      </c>
      <c r="J87" s="1">
        <v>96</v>
      </c>
      <c r="K87" s="1">
        <v>94</v>
      </c>
      <c r="L87" s="1">
        <v>720</v>
      </c>
      <c r="M87" s="54">
        <f t="shared" si="1"/>
        <v>0.8</v>
      </c>
      <c r="N87" s="1" t="s">
        <v>136</v>
      </c>
    </row>
    <row r="88" spans="1:14">
      <c r="A88" s="1" t="s">
        <v>391</v>
      </c>
      <c r="B88" s="1" t="s">
        <v>234</v>
      </c>
      <c r="C88" s="1">
        <v>88</v>
      </c>
      <c r="D88" s="1">
        <v>45</v>
      </c>
      <c r="E88" s="1">
        <v>72</v>
      </c>
      <c r="F88" s="1">
        <v>83</v>
      </c>
      <c r="G88" s="1">
        <v>49</v>
      </c>
      <c r="H88" s="1">
        <v>96</v>
      </c>
      <c r="I88" s="1">
        <v>97</v>
      </c>
      <c r="J88" s="1">
        <v>97</v>
      </c>
      <c r="K88" s="1">
        <v>95</v>
      </c>
      <c r="L88" s="1">
        <v>722</v>
      </c>
      <c r="M88" s="54">
        <f t="shared" si="1"/>
        <v>0.80222222222222217</v>
      </c>
      <c r="N88" s="1" t="s">
        <v>136</v>
      </c>
    </row>
    <row r="89" spans="1:14">
      <c r="A89" s="1" t="s">
        <v>392</v>
      </c>
      <c r="B89" s="1" t="s">
        <v>235</v>
      </c>
      <c r="C89" s="1">
        <v>51</v>
      </c>
      <c r="D89" s="1">
        <v>47</v>
      </c>
      <c r="E89" s="1">
        <v>46</v>
      </c>
      <c r="F89" s="1">
        <v>51</v>
      </c>
      <c r="G89" s="1">
        <v>43</v>
      </c>
      <c r="H89" s="1">
        <v>92</v>
      </c>
      <c r="I89" s="1">
        <v>94</v>
      </c>
      <c r="J89" s="1">
        <v>95</v>
      </c>
      <c r="K89" s="1">
        <v>94</v>
      </c>
      <c r="L89" s="1">
        <v>613</v>
      </c>
      <c r="M89" s="54">
        <f t="shared" si="1"/>
        <v>0.68111111111111111</v>
      </c>
      <c r="N89" s="1" t="s">
        <v>136</v>
      </c>
    </row>
    <row r="90" spans="1:14">
      <c r="A90" s="1" t="s">
        <v>393</v>
      </c>
      <c r="B90" s="1" t="s">
        <v>236</v>
      </c>
      <c r="C90" s="1">
        <v>93</v>
      </c>
      <c r="D90" s="1">
        <v>79</v>
      </c>
      <c r="E90" s="1">
        <v>82</v>
      </c>
      <c r="F90" s="1">
        <v>83</v>
      </c>
      <c r="G90" s="1">
        <v>70</v>
      </c>
      <c r="H90" s="1">
        <v>94</v>
      </c>
      <c r="I90" s="1">
        <v>98</v>
      </c>
      <c r="J90" s="1">
        <v>98</v>
      </c>
      <c r="K90" s="1">
        <v>97</v>
      </c>
      <c r="L90" s="1">
        <v>794</v>
      </c>
      <c r="M90" s="54">
        <f t="shared" si="1"/>
        <v>0.88222222222222224</v>
      </c>
      <c r="N90" s="1" t="s">
        <v>136</v>
      </c>
    </row>
    <row r="91" spans="1:14">
      <c r="A91" s="1" t="s">
        <v>394</v>
      </c>
      <c r="B91" s="1" t="s">
        <v>237</v>
      </c>
      <c r="C91" s="1">
        <v>58</v>
      </c>
      <c r="D91" s="1">
        <v>38</v>
      </c>
      <c r="E91" s="1">
        <v>42</v>
      </c>
      <c r="F91" s="1">
        <v>24</v>
      </c>
      <c r="G91" s="1">
        <v>13</v>
      </c>
      <c r="H91" s="1">
        <v>89</v>
      </c>
      <c r="I91" s="1">
        <v>93</v>
      </c>
      <c r="J91" s="1">
        <v>94</v>
      </c>
      <c r="K91" s="1">
        <v>92</v>
      </c>
      <c r="L91" s="1">
        <v>543</v>
      </c>
      <c r="M91" s="54">
        <f t="shared" si="1"/>
        <v>0.60333333333333339</v>
      </c>
      <c r="N91" s="1" t="s">
        <v>452</v>
      </c>
    </row>
    <row r="92" spans="1:14">
      <c r="A92" s="1" t="s">
        <v>395</v>
      </c>
      <c r="B92" s="1" t="s">
        <v>238</v>
      </c>
      <c r="C92" s="1">
        <v>55</v>
      </c>
      <c r="D92" s="1">
        <v>42</v>
      </c>
      <c r="E92" s="1">
        <v>48</v>
      </c>
      <c r="F92" s="1">
        <v>58</v>
      </c>
      <c r="G92" s="1">
        <v>44</v>
      </c>
      <c r="H92" s="1">
        <v>90</v>
      </c>
      <c r="I92" s="1">
        <v>95</v>
      </c>
      <c r="J92" s="1">
        <v>95</v>
      </c>
      <c r="K92" s="1">
        <v>93</v>
      </c>
      <c r="L92" s="1">
        <v>620</v>
      </c>
      <c r="M92" s="54">
        <f t="shared" si="1"/>
        <v>0.68888888888888888</v>
      </c>
      <c r="N92" s="1" t="s">
        <v>136</v>
      </c>
    </row>
    <row r="93" spans="1:14">
      <c r="A93" s="1" t="s">
        <v>396</v>
      </c>
      <c r="B93" s="1" t="s">
        <v>239</v>
      </c>
      <c r="C93" s="1">
        <v>69</v>
      </c>
      <c r="D93" s="1">
        <v>87</v>
      </c>
      <c r="E93" s="1">
        <v>81</v>
      </c>
      <c r="F93" s="1">
        <v>77</v>
      </c>
      <c r="G93" s="1">
        <v>61</v>
      </c>
      <c r="H93" s="1">
        <v>98</v>
      </c>
      <c r="I93" s="1">
        <v>98</v>
      </c>
      <c r="J93" s="1">
        <v>97</v>
      </c>
      <c r="K93" s="1">
        <v>94</v>
      </c>
      <c r="L93" s="1">
        <v>762</v>
      </c>
      <c r="M93" s="54">
        <f t="shared" si="1"/>
        <v>0.84666666666666668</v>
      </c>
      <c r="N93" s="1" t="s">
        <v>136</v>
      </c>
    </row>
    <row r="94" spans="1:14">
      <c r="A94" s="1" t="s">
        <v>397</v>
      </c>
      <c r="B94" s="1" t="s">
        <v>240</v>
      </c>
      <c r="C94" s="1">
        <v>100</v>
      </c>
      <c r="D94" s="1">
        <v>96</v>
      </c>
      <c r="E94" s="1">
        <v>89</v>
      </c>
      <c r="F94" s="1">
        <v>96</v>
      </c>
      <c r="G94" s="1">
        <v>88</v>
      </c>
      <c r="H94" s="1">
        <v>100</v>
      </c>
      <c r="I94" s="1">
        <v>100</v>
      </c>
      <c r="J94" s="1">
        <v>100</v>
      </c>
      <c r="K94" s="1">
        <v>100</v>
      </c>
      <c r="L94" s="1">
        <v>869</v>
      </c>
      <c r="M94" s="54">
        <f t="shared" si="1"/>
        <v>0.9655555555555555</v>
      </c>
      <c r="N94" s="1" t="s">
        <v>136</v>
      </c>
    </row>
    <row r="95" spans="1:14">
      <c r="A95" s="1" t="s">
        <v>398</v>
      </c>
      <c r="B95" s="1" t="s">
        <v>241</v>
      </c>
      <c r="C95" s="1">
        <v>98</v>
      </c>
      <c r="D95" s="1">
        <v>88</v>
      </c>
      <c r="E95" s="1">
        <v>93</v>
      </c>
      <c r="F95" s="1">
        <v>88</v>
      </c>
      <c r="G95" s="1">
        <v>93</v>
      </c>
      <c r="H95" s="1">
        <v>100</v>
      </c>
      <c r="I95" s="1">
        <v>100</v>
      </c>
      <c r="J95" s="1">
        <v>100</v>
      </c>
      <c r="K95" s="1">
        <v>99</v>
      </c>
      <c r="L95" s="1">
        <v>859</v>
      </c>
      <c r="M95" s="54">
        <f t="shared" si="1"/>
        <v>0.95444444444444443</v>
      </c>
      <c r="N95" s="1" t="s">
        <v>136</v>
      </c>
    </row>
    <row r="96" spans="1:14">
      <c r="A96" s="1" t="s">
        <v>399</v>
      </c>
      <c r="B96" s="1" t="s">
        <v>242</v>
      </c>
      <c r="C96" s="1">
        <v>100</v>
      </c>
      <c r="D96" s="1">
        <v>86</v>
      </c>
      <c r="E96" s="1">
        <v>76</v>
      </c>
      <c r="F96" s="1">
        <v>75</v>
      </c>
      <c r="G96" s="1">
        <v>95</v>
      </c>
      <c r="H96" s="1">
        <v>100</v>
      </c>
      <c r="I96" s="1">
        <v>100</v>
      </c>
      <c r="J96" s="1">
        <v>100</v>
      </c>
      <c r="K96" s="1">
        <v>100</v>
      </c>
      <c r="L96" s="1">
        <v>832</v>
      </c>
      <c r="M96" s="54">
        <f t="shared" si="1"/>
        <v>0.9244444444444444</v>
      </c>
      <c r="N96" s="1" t="s">
        <v>136</v>
      </c>
    </row>
    <row r="97" spans="1:14">
      <c r="A97" s="1" t="s">
        <v>400</v>
      </c>
      <c r="B97" s="1" t="s">
        <v>243</v>
      </c>
      <c r="C97" s="1">
        <v>77</v>
      </c>
      <c r="D97" s="1">
        <v>61</v>
      </c>
      <c r="E97" s="1">
        <v>54</v>
      </c>
      <c r="F97" s="1">
        <v>55</v>
      </c>
      <c r="G97" s="1">
        <v>45</v>
      </c>
      <c r="H97" s="1">
        <v>96</v>
      </c>
      <c r="I97" s="1">
        <v>96</v>
      </c>
      <c r="J97" s="1">
        <v>95</v>
      </c>
      <c r="K97" s="1">
        <v>92</v>
      </c>
      <c r="L97" s="1">
        <v>671</v>
      </c>
      <c r="M97" s="54">
        <f t="shared" si="1"/>
        <v>0.74555555555555553</v>
      </c>
      <c r="N97" s="1" t="s">
        <v>136</v>
      </c>
    </row>
    <row r="98" spans="1:14">
      <c r="A98" s="1" t="s">
        <v>401</v>
      </c>
      <c r="B98" s="1" t="s">
        <v>244</v>
      </c>
      <c r="C98" s="1">
        <v>63</v>
      </c>
      <c r="D98" s="1">
        <v>77</v>
      </c>
      <c r="E98" s="1">
        <v>69</v>
      </c>
      <c r="F98" s="1">
        <v>66</v>
      </c>
      <c r="G98" s="1">
        <v>44</v>
      </c>
      <c r="H98" s="1">
        <v>96</v>
      </c>
      <c r="I98" s="1">
        <v>94</v>
      </c>
      <c r="J98" s="1">
        <v>95</v>
      </c>
      <c r="K98" s="1">
        <v>91</v>
      </c>
      <c r="L98" s="1">
        <v>695</v>
      </c>
      <c r="M98" s="54">
        <f t="shared" si="1"/>
        <v>0.77222222222222225</v>
      </c>
      <c r="N98" s="1" t="s">
        <v>136</v>
      </c>
    </row>
    <row r="99" spans="1:14">
      <c r="A99" s="1" t="s">
        <v>402</v>
      </c>
      <c r="B99" s="1" t="s">
        <v>245</v>
      </c>
      <c r="C99" s="1">
        <v>26</v>
      </c>
      <c r="D99" s="1">
        <v>26</v>
      </c>
      <c r="E99" s="1">
        <v>57</v>
      </c>
      <c r="F99" s="1">
        <v>60</v>
      </c>
      <c r="G99" s="1">
        <v>66</v>
      </c>
      <c r="H99" s="1">
        <v>89</v>
      </c>
      <c r="I99" s="1">
        <v>94</v>
      </c>
      <c r="J99" s="1">
        <v>95</v>
      </c>
      <c r="K99" s="1">
        <v>89</v>
      </c>
      <c r="L99" s="1">
        <v>602</v>
      </c>
      <c r="M99" s="54">
        <f t="shared" si="1"/>
        <v>0.66888888888888887</v>
      </c>
      <c r="N99" s="1" t="s">
        <v>456</v>
      </c>
    </row>
    <row r="100" spans="1:14">
      <c r="A100" s="1" t="s">
        <v>403</v>
      </c>
      <c r="B100" s="1" t="s">
        <v>246</v>
      </c>
      <c r="C100" s="1">
        <v>90</v>
      </c>
      <c r="D100" s="1">
        <v>40</v>
      </c>
      <c r="E100" s="1">
        <v>63</v>
      </c>
      <c r="F100" s="1">
        <v>64</v>
      </c>
      <c r="G100" s="1">
        <v>61</v>
      </c>
      <c r="H100" s="1">
        <v>89</v>
      </c>
      <c r="I100" s="1">
        <v>94</v>
      </c>
      <c r="J100" s="1">
        <v>95</v>
      </c>
      <c r="K100" s="1">
        <v>91</v>
      </c>
      <c r="L100" s="1">
        <v>687</v>
      </c>
      <c r="M100" s="54">
        <f t="shared" si="1"/>
        <v>0.76333333333333331</v>
      </c>
      <c r="N100" s="1" t="s">
        <v>136</v>
      </c>
    </row>
    <row r="101" spans="1:14">
      <c r="A101" s="1" t="s">
        <v>404</v>
      </c>
      <c r="B101" s="1" t="s">
        <v>405</v>
      </c>
      <c r="C101" s="1">
        <v>99</v>
      </c>
      <c r="D101" s="1">
        <v>62</v>
      </c>
      <c r="E101" s="1">
        <v>37</v>
      </c>
      <c r="F101" s="1">
        <v>61</v>
      </c>
      <c r="G101" s="1">
        <v>19</v>
      </c>
      <c r="H101" s="1">
        <v>88</v>
      </c>
      <c r="I101" s="1">
        <v>94</v>
      </c>
      <c r="J101" s="1">
        <v>95</v>
      </c>
      <c r="K101" s="1">
        <v>91</v>
      </c>
      <c r="L101" s="1">
        <v>646</v>
      </c>
      <c r="M101" s="54">
        <f t="shared" si="1"/>
        <v>0.71777777777777774</v>
      </c>
      <c r="N101" s="1" t="s">
        <v>457</v>
      </c>
    </row>
    <row r="102" spans="1:14">
      <c r="A102" s="1" t="s">
        <v>406</v>
      </c>
      <c r="B102" s="1" t="s">
        <v>248</v>
      </c>
      <c r="C102" s="1">
        <v>56</v>
      </c>
      <c r="D102" s="1">
        <v>68</v>
      </c>
      <c r="E102" s="1">
        <v>44</v>
      </c>
      <c r="F102" s="1">
        <v>57</v>
      </c>
      <c r="G102" s="1">
        <v>60</v>
      </c>
      <c r="H102" s="1">
        <v>90</v>
      </c>
      <c r="I102" s="1">
        <v>94</v>
      </c>
      <c r="J102" s="1">
        <v>94</v>
      </c>
      <c r="K102" s="1">
        <v>91</v>
      </c>
      <c r="L102" s="1">
        <v>654</v>
      </c>
      <c r="M102" s="54">
        <f t="shared" si="1"/>
        <v>0.72666666666666668</v>
      </c>
      <c r="N102" s="1" t="s">
        <v>136</v>
      </c>
    </row>
    <row r="103" spans="1:14">
      <c r="A103" s="1" t="s">
        <v>407</v>
      </c>
      <c r="B103" s="1" t="s">
        <v>249</v>
      </c>
      <c r="C103" s="1">
        <v>67</v>
      </c>
      <c r="D103" s="1">
        <v>50</v>
      </c>
      <c r="E103" s="1">
        <v>39</v>
      </c>
      <c r="F103" s="1">
        <v>76</v>
      </c>
      <c r="G103" s="1">
        <v>63</v>
      </c>
      <c r="H103" s="1">
        <v>91</v>
      </c>
      <c r="I103" s="1">
        <v>96</v>
      </c>
      <c r="J103" s="1">
        <v>95</v>
      </c>
      <c r="K103" s="1">
        <v>95</v>
      </c>
      <c r="L103" s="1">
        <v>672</v>
      </c>
      <c r="M103" s="54">
        <f t="shared" si="1"/>
        <v>0.7466666666666667</v>
      </c>
      <c r="N103" s="1" t="s">
        <v>136</v>
      </c>
    </row>
    <row r="104" spans="1:14">
      <c r="A104" s="1" t="s">
        <v>408</v>
      </c>
      <c r="B104" s="1" t="s">
        <v>250</v>
      </c>
      <c r="C104" s="1">
        <v>97</v>
      </c>
      <c r="D104" s="1">
        <v>67</v>
      </c>
      <c r="E104" s="1">
        <v>75</v>
      </c>
      <c r="F104" s="1">
        <v>90</v>
      </c>
      <c r="G104" s="1">
        <v>86</v>
      </c>
      <c r="H104" s="1">
        <v>96</v>
      </c>
      <c r="I104" s="1">
        <v>97</v>
      </c>
      <c r="J104" s="1">
        <v>97</v>
      </c>
      <c r="K104" s="1">
        <v>97</v>
      </c>
      <c r="L104" s="1">
        <v>802</v>
      </c>
      <c r="M104" s="54">
        <f t="shared" si="1"/>
        <v>0.89111111111111108</v>
      </c>
      <c r="N104" s="1" t="s">
        <v>136</v>
      </c>
    </row>
    <row r="105" spans="1:14">
      <c r="A105" s="1" t="s">
        <v>409</v>
      </c>
      <c r="B105" s="1" t="s">
        <v>251</v>
      </c>
      <c r="C105" s="1">
        <v>97</v>
      </c>
      <c r="D105" s="1">
        <v>75</v>
      </c>
      <c r="E105" s="1">
        <v>73</v>
      </c>
      <c r="F105" s="1">
        <v>94</v>
      </c>
      <c r="G105" s="1">
        <v>83</v>
      </c>
      <c r="H105" s="1">
        <v>95</v>
      </c>
      <c r="I105" s="1">
        <v>98</v>
      </c>
      <c r="J105" s="1">
        <v>98</v>
      </c>
      <c r="K105" s="1">
        <v>98</v>
      </c>
      <c r="L105" s="1">
        <v>811</v>
      </c>
      <c r="M105" s="54">
        <f t="shared" si="1"/>
        <v>0.90111111111111108</v>
      </c>
      <c r="N105" s="1" t="s">
        <v>136</v>
      </c>
    </row>
    <row r="106" spans="1:14">
      <c r="A106" s="1" t="s">
        <v>410</v>
      </c>
      <c r="B106" s="1" t="s">
        <v>252</v>
      </c>
      <c r="C106" s="1">
        <v>88</v>
      </c>
      <c r="D106" s="1">
        <v>95</v>
      </c>
      <c r="E106" s="1">
        <v>65</v>
      </c>
      <c r="F106" s="1">
        <v>81</v>
      </c>
      <c r="G106" s="1">
        <v>68</v>
      </c>
      <c r="H106" s="1">
        <v>91</v>
      </c>
      <c r="I106" s="1">
        <v>95</v>
      </c>
      <c r="J106" s="1">
        <v>96</v>
      </c>
      <c r="K106" s="1">
        <v>92</v>
      </c>
      <c r="L106" s="1">
        <v>771</v>
      </c>
      <c r="M106" s="54">
        <f t="shared" si="1"/>
        <v>0.85666666666666669</v>
      </c>
      <c r="N106" s="1" t="s">
        <v>136</v>
      </c>
    </row>
    <row r="107" spans="1:14">
      <c r="A107" s="1" t="s">
        <v>411</v>
      </c>
      <c r="B107" s="1" t="s">
        <v>253</v>
      </c>
      <c r="C107" s="1">
        <v>88</v>
      </c>
      <c r="D107" s="1">
        <v>94</v>
      </c>
      <c r="E107" s="1">
        <v>61</v>
      </c>
      <c r="F107" s="1">
        <v>77</v>
      </c>
      <c r="G107" s="1">
        <v>61</v>
      </c>
      <c r="H107" s="1">
        <v>98</v>
      </c>
      <c r="I107" s="1">
        <v>100</v>
      </c>
      <c r="J107" s="1">
        <v>100</v>
      </c>
      <c r="K107" s="1">
        <v>98</v>
      </c>
      <c r="L107" s="1">
        <v>777</v>
      </c>
      <c r="M107" s="54">
        <f t="shared" si="1"/>
        <v>0.86333333333333329</v>
      </c>
      <c r="N107" s="1" t="s">
        <v>136</v>
      </c>
    </row>
    <row r="108" spans="1:14">
      <c r="A108" s="1" t="s">
        <v>412</v>
      </c>
      <c r="B108" s="1" t="s">
        <v>254</v>
      </c>
      <c r="C108" s="1">
        <v>62</v>
      </c>
      <c r="D108" s="1">
        <v>64</v>
      </c>
      <c r="E108" s="1">
        <v>67</v>
      </c>
      <c r="F108" s="1">
        <v>76</v>
      </c>
      <c r="G108" s="1">
        <v>77</v>
      </c>
      <c r="H108" s="1">
        <v>93</v>
      </c>
      <c r="I108" s="1">
        <v>98</v>
      </c>
      <c r="J108" s="1">
        <v>97</v>
      </c>
      <c r="K108" s="1">
        <v>93</v>
      </c>
      <c r="L108" s="1">
        <v>727</v>
      </c>
      <c r="M108" s="54">
        <f t="shared" si="1"/>
        <v>0.80777777777777782</v>
      </c>
      <c r="N108" s="1" t="s">
        <v>136</v>
      </c>
    </row>
    <row r="109" spans="1:14">
      <c r="A109" s="1" t="s">
        <v>413</v>
      </c>
      <c r="B109" s="1" t="s">
        <v>255</v>
      </c>
      <c r="C109" s="1">
        <v>84</v>
      </c>
      <c r="D109" s="1">
        <v>64</v>
      </c>
      <c r="E109" s="1">
        <v>63</v>
      </c>
      <c r="F109" s="1">
        <v>57</v>
      </c>
      <c r="G109" s="1">
        <v>57</v>
      </c>
      <c r="H109" s="1">
        <v>89</v>
      </c>
      <c r="I109" s="1">
        <v>94</v>
      </c>
      <c r="J109" s="1">
        <v>95</v>
      </c>
      <c r="K109" s="1">
        <v>93</v>
      </c>
      <c r="L109" s="1">
        <v>696</v>
      </c>
      <c r="M109" s="54">
        <f t="shared" si="1"/>
        <v>0.77333333333333332</v>
      </c>
      <c r="N109" s="1" t="s">
        <v>136</v>
      </c>
    </row>
    <row r="110" spans="1:14">
      <c r="A110" s="1" t="s">
        <v>414</v>
      </c>
      <c r="B110" s="1" t="s">
        <v>256</v>
      </c>
      <c r="C110" s="1">
        <v>94</v>
      </c>
      <c r="D110" s="1">
        <v>93</v>
      </c>
      <c r="E110" s="1">
        <v>61</v>
      </c>
      <c r="F110" s="1">
        <v>84</v>
      </c>
      <c r="G110" s="1">
        <v>51</v>
      </c>
      <c r="H110" s="1">
        <v>96</v>
      </c>
      <c r="I110" s="1">
        <v>97</v>
      </c>
      <c r="J110" s="1">
        <v>97</v>
      </c>
      <c r="K110" s="1">
        <v>97</v>
      </c>
      <c r="L110" s="1">
        <v>770</v>
      </c>
      <c r="M110" s="54">
        <f t="shared" si="1"/>
        <v>0.85555555555555551</v>
      </c>
      <c r="N110" s="1" t="s">
        <v>136</v>
      </c>
    </row>
    <row r="111" spans="1:14">
      <c r="A111" s="1" t="s">
        <v>415</v>
      </c>
      <c r="B111" s="1" t="s">
        <v>257</v>
      </c>
      <c r="C111" s="1">
        <v>78</v>
      </c>
      <c r="D111" s="1">
        <v>56</v>
      </c>
      <c r="E111" s="1">
        <v>53</v>
      </c>
      <c r="F111" s="1">
        <v>60</v>
      </c>
      <c r="G111" s="1">
        <v>53</v>
      </c>
      <c r="H111" s="1">
        <v>93</v>
      </c>
      <c r="I111" s="1">
        <v>96</v>
      </c>
      <c r="J111" s="1">
        <v>96</v>
      </c>
      <c r="K111" s="1">
        <v>94</v>
      </c>
      <c r="L111" s="1">
        <v>679</v>
      </c>
      <c r="M111" s="54">
        <f t="shared" si="1"/>
        <v>0.75444444444444447</v>
      </c>
      <c r="N111" s="1" t="s">
        <v>136</v>
      </c>
    </row>
    <row r="112" spans="1:14">
      <c r="A112" s="1" t="s">
        <v>416</v>
      </c>
      <c r="B112" s="1" t="s">
        <v>258</v>
      </c>
      <c r="C112" s="1">
        <v>63</v>
      </c>
      <c r="D112" s="1">
        <v>57</v>
      </c>
      <c r="E112" s="1">
        <v>55</v>
      </c>
      <c r="F112" s="1">
        <v>67</v>
      </c>
      <c r="G112" s="1">
        <v>50</v>
      </c>
      <c r="H112" s="1">
        <v>94</v>
      </c>
      <c r="I112" s="1">
        <v>96</v>
      </c>
      <c r="J112" s="1">
        <v>96</v>
      </c>
      <c r="K112" s="1">
        <v>95</v>
      </c>
      <c r="L112" s="1">
        <v>673</v>
      </c>
      <c r="M112" s="54">
        <f t="shared" si="1"/>
        <v>0.74777777777777776</v>
      </c>
      <c r="N112" s="1" t="s">
        <v>136</v>
      </c>
    </row>
    <row r="113" spans="1:14">
      <c r="A113" s="1" t="s">
        <v>417</v>
      </c>
      <c r="B113" s="1" t="s">
        <v>259</v>
      </c>
      <c r="C113" s="1">
        <v>96</v>
      </c>
      <c r="D113" s="1">
        <v>80</v>
      </c>
      <c r="E113" s="1">
        <v>67</v>
      </c>
      <c r="F113" s="1">
        <v>96</v>
      </c>
      <c r="G113" s="1">
        <v>75</v>
      </c>
      <c r="H113" s="1">
        <v>97</v>
      </c>
      <c r="I113" s="1">
        <v>98</v>
      </c>
      <c r="J113" s="1">
        <v>98</v>
      </c>
      <c r="K113" s="1">
        <v>98</v>
      </c>
      <c r="L113" s="1">
        <v>805</v>
      </c>
      <c r="M113" s="54">
        <f t="shared" si="1"/>
        <v>0.89444444444444449</v>
      </c>
      <c r="N113" s="1" t="s">
        <v>136</v>
      </c>
    </row>
    <row r="114" spans="1:14">
      <c r="A114" s="1" t="s">
        <v>418</v>
      </c>
      <c r="B114" s="1" t="s">
        <v>260</v>
      </c>
      <c r="C114" s="1">
        <v>49</v>
      </c>
      <c r="D114" s="1">
        <v>36</v>
      </c>
      <c r="E114" s="1">
        <v>50</v>
      </c>
      <c r="F114" s="1">
        <v>28</v>
      </c>
      <c r="G114" s="1">
        <v>43</v>
      </c>
      <c r="H114" s="1">
        <v>93</v>
      </c>
      <c r="I114" s="1">
        <v>94</v>
      </c>
      <c r="J114" s="1">
        <v>94</v>
      </c>
      <c r="K114" s="1">
        <v>91</v>
      </c>
      <c r="L114" s="1">
        <v>578</v>
      </c>
      <c r="M114" s="54">
        <f t="shared" si="1"/>
        <v>0.64222222222222225</v>
      </c>
      <c r="N114" s="1" t="s">
        <v>453</v>
      </c>
    </row>
    <row r="115" spans="1:14">
      <c r="A115" s="1" t="s">
        <v>419</v>
      </c>
      <c r="B115" s="1" t="s">
        <v>261</v>
      </c>
      <c r="C115" s="1">
        <v>52</v>
      </c>
      <c r="D115" s="1">
        <v>38</v>
      </c>
      <c r="E115" s="1">
        <v>48</v>
      </c>
      <c r="F115" s="1">
        <v>36</v>
      </c>
      <c r="G115" s="1">
        <v>40</v>
      </c>
      <c r="H115" s="1">
        <v>88</v>
      </c>
      <c r="I115" s="1">
        <v>92</v>
      </c>
      <c r="J115" s="1">
        <v>91</v>
      </c>
      <c r="K115" s="1">
        <v>90</v>
      </c>
      <c r="L115" s="1">
        <v>575</v>
      </c>
      <c r="M115" s="54">
        <f t="shared" si="1"/>
        <v>0.63888888888888884</v>
      </c>
      <c r="N115" s="1" t="s">
        <v>136</v>
      </c>
    </row>
    <row r="116" spans="1:14">
      <c r="A116" s="1" t="s">
        <v>420</v>
      </c>
      <c r="B116" s="1" t="s">
        <v>262</v>
      </c>
      <c r="C116" s="1">
        <v>93</v>
      </c>
      <c r="D116" s="1">
        <v>58</v>
      </c>
      <c r="E116" s="1">
        <v>73</v>
      </c>
      <c r="F116" s="1">
        <v>73</v>
      </c>
      <c r="G116" s="1">
        <v>88</v>
      </c>
      <c r="H116" s="1">
        <v>97</v>
      </c>
      <c r="I116" s="1">
        <v>98</v>
      </c>
      <c r="J116" s="1">
        <v>98</v>
      </c>
      <c r="K116" s="1">
        <v>98</v>
      </c>
      <c r="L116" s="1">
        <v>776</v>
      </c>
      <c r="M116" s="54">
        <f t="shared" si="1"/>
        <v>0.86222222222222222</v>
      </c>
      <c r="N116" s="1" t="s">
        <v>136</v>
      </c>
    </row>
    <row r="117" spans="1:14">
      <c r="A117" s="1" t="s">
        <v>421</v>
      </c>
      <c r="B117" s="1" t="s">
        <v>263</v>
      </c>
      <c r="C117" s="1">
        <v>66</v>
      </c>
      <c r="D117" s="1">
        <v>41</v>
      </c>
      <c r="E117" s="1">
        <v>59</v>
      </c>
      <c r="F117" s="1">
        <v>53</v>
      </c>
      <c r="G117" s="1">
        <v>44</v>
      </c>
      <c r="H117" s="1">
        <v>89</v>
      </c>
      <c r="I117" s="1">
        <v>94</v>
      </c>
      <c r="J117" s="1">
        <v>95</v>
      </c>
      <c r="K117" s="1">
        <v>93</v>
      </c>
      <c r="L117" s="1">
        <v>634</v>
      </c>
      <c r="M117" s="54">
        <f t="shared" si="1"/>
        <v>0.70444444444444443</v>
      </c>
      <c r="N117" s="1" t="s">
        <v>136</v>
      </c>
    </row>
    <row r="118" spans="1:14">
      <c r="A118" s="1" t="s">
        <v>422</v>
      </c>
      <c r="B118" s="1" t="s">
        <v>264</v>
      </c>
      <c r="C118" s="1">
        <v>62</v>
      </c>
      <c r="D118" s="1">
        <v>71</v>
      </c>
      <c r="E118" s="1">
        <v>79</v>
      </c>
      <c r="F118" s="1">
        <v>84</v>
      </c>
      <c r="G118" s="1">
        <v>70</v>
      </c>
      <c r="H118" s="1">
        <v>97</v>
      </c>
      <c r="I118" s="1">
        <v>98</v>
      </c>
      <c r="J118" s="1">
        <v>98</v>
      </c>
      <c r="K118" s="1">
        <v>98</v>
      </c>
      <c r="L118" s="1">
        <v>757</v>
      </c>
      <c r="M118" s="54">
        <f t="shared" si="1"/>
        <v>0.84111111111111114</v>
      </c>
      <c r="N118" s="1" t="s">
        <v>136</v>
      </c>
    </row>
    <row r="119" spans="1:14">
      <c r="A119" s="1" t="s">
        <v>423</v>
      </c>
      <c r="B119" s="1" t="s">
        <v>265</v>
      </c>
      <c r="C119" s="1">
        <v>95</v>
      </c>
      <c r="D119" s="1">
        <v>87</v>
      </c>
      <c r="E119" s="1">
        <v>72</v>
      </c>
      <c r="F119" s="1">
        <v>86</v>
      </c>
      <c r="G119" s="1">
        <v>89</v>
      </c>
      <c r="H119" s="1">
        <v>100</v>
      </c>
      <c r="I119" s="1">
        <v>100</v>
      </c>
      <c r="J119" s="1">
        <v>100</v>
      </c>
      <c r="K119" s="1">
        <v>100</v>
      </c>
      <c r="L119" s="1">
        <v>829</v>
      </c>
      <c r="M119" s="54">
        <f t="shared" si="1"/>
        <v>0.9211111111111111</v>
      </c>
      <c r="N119" s="1" t="s">
        <v>136</v>
      </c>
    </row>
    <row r="120" spans="1:14">
      <c r="A120" s="1" t="s">
        <v>424</v>
      </c>
      <c r="B120" s="1" t="s">
        <v>266</v>
      </c>
      <c r="C120" s="1">
        <v>47</v>
      </c>
      <c r="D120" s="1">
        <v>27</v>
      </c>
      <c r="E120" s="1">
        <v>63</v>
      </c>
      <c r="F120" s="1">
        <v>50</v>
      </c>
      <c r="G120" s="1">
        <v>49</v>
      </c>
      <c r="H120" s="1">
        <v>91</v>
      </c>
      <c r="I120" s="1">
        <v>97</v>
      </c>
      <c r="J120" s="1">
        <v>96</v>
      </c>
      <c r="K120" s="1">
        <v>95</v>
      </c>
      <c r="L120" s="1">
        <v>615</v>
      </c>
      <c r="M120" s="54">
        <f t="shared" si="1"/>
        <v>0.68333333333333335</v>
      </c>
      <c r="N120" s="1" t="s">
        <v>444</v>
      </c>
    </row>
    <row r="121" spans="1:14">
      <c r="A121" s="1" t="s">
        <v>425</v>
      </c>
      <c r="B121" s="1" t="s">
        <v>267</v>
      </c>
      <c r="C121" s="1">
        <v>57</v>
      </c>
      <c r="D121" s="1">
        <v>36</v>
      </c>
      <c r="E121" s="1">
        <v>17</v>
      </c>
      <c r="F121" s="1">
        <v>55</v>
      </c>
      <c r="G121" s="1">
        <v>18</v>
      </c>
      <c r="H121" s="1">
        <v>87</v>
      </c>
      <c r="I121" s="1">
        <v>93</v>
      </c>
      <c r="J121" s="1">
        <v>92</v>
      </c>
      <c r="K121" s="1">
        <v>90</v>
      </c>
      <c r="L121" s="1">
        <v>545</v>
      </c>
      <c r="M121" s="54">
        <f t="shared" si="1"/>
        <v>0.60555555555555551</v>
      </c>
      <c r="N121" s="1" t="s">
        <v>457</v>
      </c>
    </row>
    <row r="122" spans="1:14">
      <c r="A122" s="1" t="s">
        <v>426</v>
      </c>
      <c r="B122" s="1" t="s">
        <v>268</v>
      </c>
      <c r="C122" s="1">
        <v>49</v>
      </c>
      <c r="D122" s="1">
        <v>42</v>
      </c>
      <c r="E122" s="1">
        <v>34</v>
      </c>
      <c r="F122" s="1">
        <v>68</v>
      </c>
      <c r="G122" s="1">
        <v>57</v>
      </c>
      <c r="H122" s="1">
        <v>90</v>
      </c>
      <c r="I122" s="1">
        <v>97</v>
      </c>
      <c r="J122" s="1">
        <v>96</v>
      </c>
      <c r="K122" s="1">
        <v>95</v>
      </c>
      <c r="L122" s="1">
        <v>628</v>
      </c>
      <c r="M122" s="54">
        <f t="shared" si="1"/>
        <v>0.69777777777777783</v>
      </c>
      <c r="N122" s="1" t="s">
        <v>458</v>
      </c>
    </row>
    <row r="123" spans="1:14">
      <c r="A123" s="1" t="s">
        <v>427</v>
      </c>
      <c r="B123" s="1" t="s">
        <v>269</v>
      </c>
      <c r="C123" s="1">
        <v>87</v>
      </c>
      <c r="D123" s="1">
        <v>82</v>
      </c>
      <c r="E123" s="1">
        <v>55</v>
      </c>
      <c r="F123" s="1">
        <v>76</v>
      </c>
      <c r="G123" s="1">
        <v>41</v>
      </c>
      <c r="H123" s="1">
        <v>90</v>
      </c>
      <c r="I123" s="1">
        <v>94</v>
      </c>
      <c r="J123" s="1">
        <v>94</v>
      </c>
      <c r="K123" s="1">
        <v>91</v>
      </c>
      <c r="L123" s="1">
        <v>710</v>
      </c>
      <c r="M123" s="54">
        <f t="shared" si="1"/>
        <v>0.78888888888888886</v>
      </c>
      <c r="N123" s="1" t="s">
        <v>136</v>
      </c>
    </row>
    <row r="124" spans="1:14">
      <c r="A124" s="1" t="s">
        <v>428</v>
      </c>
      <c r="B124" s="1" t="s">
        <v>270</v>
      </c>
      <c r="C124" s="1">
        <v>79</v>
      </c>
      <c r="D124" s="1">
        <v>87</v>
      </c>
      <c r="E124" s="1">
        <v>75</v>
      </c>
      <c r="F124" s="1">
        <v>85</v>
      </c>
      <c r="G124" s="1">
        <v>72</v>
      </c>
      <c r="H124" s="1">
        <v>96</v>
      </c>
      <c r="I124" s="1">
        <v>97</v>
      </c>
      <c r="J124" s="1">
        <v>97</v>
      </c>
      <c r="K124" s="1">
        <v>95</v>
      </c>
      <c r="L124" s="1">
        <v>783</v>
      </c>
      <c r="M124" s="54">
        <f t="shared" si="1"/>
        <v>0.87</v>
      </c>
      <c r="N124" s="1" t="s">
        <v>136</v>
      </c>
    </row>
    <row r="125" spans="1:14">
      <c r="A125" s="1" t="s">
        <v>429</v>
      </c>
      <c r="B125" s="1" t="s">
        <v>271</v>
      </c>
      <c r="C125" s="1">
        <v>24</v>
      </c>
      <c r="D125" s="1">
        <v>49</v>
      </c>
      <c r="E125" s="1">
        <v>28</v>
      </c>
      <c r="F125" s="1">
        <v>63</v>
      </c>
      <c r="G125" s="1">
        <v>42</v>
      </c>
      <c r="H125" s="1">
        <v>97</v>
      </c>
      <c r="I125" s="1">
        <v>97</v>
      </c>
      <c r="J125" s="1">
        <v>97</v>
      </c>
      <c r="K125" s="1">
        <v>97</v>
      </c>
      <c r="L125" s="1">
        <v>594</v>
      </c>
      <c r="M125" s="54">
        <f t="shared" si="1"/>
        <v>0.66</v>
      </c>
      <c r="N125" s="1" t="s">
        <v>459</v>
      </c>
    </row>
    <row r="126" spans="1:14">
      <c r="A126" s="1" t="s">
        <v>430</v>
      </c>
      <c r="B126" s="1" t="s">
        <v>272</v>
      </c>
      <c r="C126" s="1">
        <v>70</v>
      </c>
      <c r="D126" s="1">
        <v>70</v>
      </c>
      <c r="E126" s="1">
        <v>43</v>
      </c>
      <c r="F126" s="1">
        <v>61</v>
      </c>
      <c r="G126" s="1">
        <v>51</v>
      </c>
      <c r="H126" s="1">
        <v>90</v>
      </c>
      <c r="I126" s="1">
        <v>95</v>
      </c>
      <c r="J126" s="1">
        <v>96</v>
      </c>
      <c r="K126" s="1">
        <v>94</v>
      </c>
      <c r="L126" s="1">
        <v>670</v>
      </c>
      <c r="M126" s="54">
        <f t="shared" si="1"/>
        <v>0.74444444444444446</v>
      </c>
      <c r="N126" s="1" t="s">
        <v>136</v>
      </c>
    </row>
    <row r="127" spans="1:14">
      <c r="A127" s="1" t="s">
        <v>431</v>
      </c>
      <c r="B127" s="1" t="s">
        <v>273</v>
      </c>
      <c r="C127" s="1">
        <v>38</v>
      </c>
      <c r="D127" s="1">
        <v>43</v>
      </c>
      <c r="E127" s="1">
        <v>41</v>
      </c>
      <c r="F127" s="1">
        <v>88</v>
      </c>
      <c r="G127" s="1">
        <v>50</v>
      </c>
      <c r="H127" s="1">
        <v>91</v>
      </c>
      <c r="I127" s="1">
        <v>93</v>
      </c>
      <c r="J127" s="1">
        <v>94</v>
      </c>
      <c r="K127" s="1">
        <v>91</v>
      </c>
      <c r="L127" s="1">
        <v>629</v>
      </c>
      <c r="M127" s="54">
        <f t="shared" si="1"/>
        <v>0.69888888888888889</v>
      </c>
      <c r="N127" s="1" t="s">
        <v>136</v>
      </c>
    </row>
    <row r="128" spans="1:14">
      <c r="A128" s="1" t="s">
        <v>432</v>
      </c>
      <c r="B128" s="1" t="s">
        <v>433</v>
      </c>
      <c r="C128" s="1">
        <v>90</v>
      </c>
      <c r="D128" s="1">
        <v>57</v>
      </c>
      <c r="E128" s="1">
        <v>64</v>
      </c>
      <c r="F128" s="1">
        <v>85</v>
      </c>
      <c r="G128" s="1">
        <v>73</v>
      </c>
      <c r="H128" s="1">
        <v>96</v>
      </c>
      <c r="I128" s="1">
        <v>97</v>
      </c>
      <c r="J128" s="1">
        <v>97</v>
      </c>
      <c r="K128" s="1">
        <v>97</v>
      </c>
      <c r="L128" s="1">
        <v>756</v>
      </c>
      <c r="M128" s="54">
        <f t="shared" si="1"/>
        <v>0.84</v>
      </c>
      <c r="N128" s="1" t="s">
        <v>136</v>
      </c>
    </row>
    <row r="129" spans="1:14">
      <c r="A129" s="1" t="s">
        <v>434</v>
      </c>
      <c r="B129" s="1" t="s">
        <v>275</v>
      </c>
      <c r="C129" s="1">
        <v>79</v>
      </c>
      <c r="D129" s="1">
        <v>48</v>
      </c>
      <c r="E129" s="1">
        <v>41</v>
      </c>
      <c r="F129" s="1">
        <v>68</v>
      </c>
      <c r="G129" s="1">
        <v>52</v>
      </c>
      <c r="H129" s="1">
        <v>90</v>
      </c>
      <c r="I129" s="1">
        <v>95</v>
      </c>
      <c r="J129" s="1">
        <v>95</v>
      </c>
      <c r="K129" s="1">
        <v>94</v>
      </c>
      <c r="L129" s="1">
        <v>662</v>
      </c>
      <c r="M129" s="54">
        <f t="shared" si="1"/>
        <v>0.73555555555555552</v>
      </c>
      <c r="N129" s="1" t="s">
        <v>136</v>
      </c>
    </row>
    <row r="130" spans="1:14">
      <c r="A130" s="1" t="s">
        <v>435</v>
      </c>
      <c r="B130" s="1" t="s">
        <v>276</v>
      </c>
      <c r="C130" s="1">
        <v>71</v>
      </c>
      <c r="D130" s="1">
        <v>53</v>
      </c>
      <c r="E130" s="1">
        <v>38</v>
      </c>
      <c r="F130" s="1">
        <v>59</v>
      </c>
      <c r="G130" s="1">
        <v>43</v>
      </c>
      <c r="H130" s="1">
        <v>95</v>
      </c>
      <c r="I130" s="1">
        <v>97</v>
      </c>
      <c r="J130" s="1">
        <v>97</v>
      </c>
      <c r="K130" s="1">
        <v>96</v>
      </c>
      <c r="L130" s="1">
        <v>649</v>
      </c>
      <c r="M130" s="54">
        <f t="shared" si="1"/>
        <v>0.72111111111111115</v>
      </c>
      <c r="N130" s="1" t="s">
        <v>136</v>
      </c>
    </row>
    <row r="131" spans="1:14">
      <c r="A131" s="1" t="s">
        <v>436</v>
      </c>
      <c r="B131" s="1" t="s">
        <v>277</v>
      </c>
      <c r="C131" s="1">
        <v>70</v>
      </c>
      <c r="D131" s="1">
        <v>59</v>
      </c>
      <c r="E131" s="1">
        <v>56</v>
      </c>
      <c r="F131" s="1">
        <v>64</v>
      </c>
      <c r="G131" s="1">
        <v>75</v>
      </c>
      <c r="H131" s="1">
        <v>92</v>
      </c>
      <c r="I131" s="1">
        <v>95</v>
      </c>
      <c r="J131" s="1">
        <v>95</v>
      </c>
      <c r="K131" s="1">
        <v>93</v>
      </c>
      <c r="L131" s="1">
        <v>699</v>
      </c>
      <c r="M131" s="54">
        <f t="shared" si="1"/>
        <v>0.77666666666666662</v>
      </c>
      <c r="N131" s="1" t="s">
        <v>136</v>
      </c>
    </row>
    <row r="132" spans="1:14">
      <c r="A132" s="1" t="s">
        <v>437</v>
      </c>
      <c r="B132" s="1" t="s">
        <v>278</v>
      </c>
      <c r="C132" s="1">
        <v>91</v>
      </c>
      <c r="D132" s="1">
        <v>75</v>
      </c>
      <c r="E132" s="1">
        <v>52</v>
      </c>
      <c r="F132" s="1">
        <v>87</v>
      </c>
      <c r="G132" s="1">
        <v>65</v>
      </c>
      <c r="H132" s="1">
        <v>100</v>
      </c>
      <c r="I132" s="1">
        <v>100</v>
      </c>
      <c r="J132" s="1">
        <v>100</v>
      </c>
      <c r="K132" s="1">
        <v>98</v>
      </c>
      <c r="L132" s="1">
        <v>768</v>
      </c>
      <c r="M132" s="54">
        <f t="shared" ref="M132:M133" si="2">(L132/900)</f>
        <v>0.85333333333333339</v>
      </c>
      <c r="N132" s="1" t="s">
        <v>136</v>
      </c>
    </row>
    <row r="133" spans="1:14">
      <c r="A133" s="1" t="s">
        <v>438</v>
      </c>
      <c r="B133" s="1" t="s">
        <v>279</v>
      </c>
      <c r="C133" s="1">
        <v>62</v>
      </c>
      <c r="D133" s="1">
        <v>37</v>
      </c>
      <c r="E133" s="1">
        <v>46</v>
      </c>
      <c r="F133" s="1">
        <v>49</v>
      </c>
      <c r="G133" s="1">
        <v>17</v>
      </c>
      <c r="H133" s="1">
        <v>96</v>
      </c>
      <c r="I133" s="1">
        <v>97</v>
      </c>
      <c r="J133" s="1">
        <v>97</v>
      </c>
      <c r="K133" s="1">
        <v>97</v>
      </c>
      <c r="L133" s="1">
        <v>598</v>
      </c>
      <c r="M133" s="54">
        <f t="shared" si="2"/>
        <v>0.66444444444444439</v>
      </c>
      <c r="N133" s="1" t="s">
        <v>458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1"/>
  <sheetViews>
    <sheetView workbookViewId="0">
      <selection activeCell="A101" sqref="A101:XFD101"/>
    </sheetView>
  </sheetViews>
  <sheetFormatPr defaultRowHeight="15"/>
  <cols>
    <col min="1" max="1" width="16" customWidth="1"/>
    <col min="2" max="2" width="28" customWidth="1"/>
    <col min="12" max="12" width="10.42578125" customWidth="1"/>
    <col min="13" max="13" width="13" customWidth="1"/>
    <col min="14" max="14" width="21.140625" customWidth="1"/>
  </cols>
  <sheetData>
    <row r="1" spans="1:14" ht="30" customHeight="1">
      <c r="A1" s="57" t="s">
        <v>68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2" spans="1:14">
      <c r="A2" s="11" t="s">
        <v>0</v>
      </c>
      <c r="B2" s="11" t="s">
        <v>1</v>
      </c>
      <c r="C2" s="11">
        <v>401</v>
      </c>
      <c r="D2" s="11">
        <v>402</v>
      </c>
      <c r="E2" s="11">
        <v>403</v>
      </c>
      <c r="F2" s="11">
        <v>404</v>
      </c>
      <c r="G2" s="11">
        <v>405</v>
      </c>
      <c r="H2" s="11">
        <v>406</v>
      </c>
      <c r="I2" s="11">
        <v>407</v>
      </c>
      <c r="J2" s="11">
        <v>408</v>
      </c>
      <c r="K2" s="11">
        <v>409</v>
      </c>
      <c r="L2" s="11" t="s">
        <v>137</v>
      </c>
      <c r="M2" s="11" t="s">
        <v>138</v>
      </c>
      <c r="N2" s="11" t="s">
        <v>139</v>
      </c>
    </row>
    <row r="3" spans="1:14" ht="21.75" customHeight="1">
      <c r="A3" s="12" t="s">
        <v>2</v>
      </c>
      <c r="B3" s="3" t="s">
        <v>149</v>
      </c>
      <c r="C3" s="12">
        <v>85</v>
      </c>
      <c r="D3" s="12">
        <v>64</v>
      </c>
      <c r="E3" s="12">
        <v>84</v>
      </c>
      <c r="F3" s="12">
        <v>49</v>
      </c>
      <c r="G3" s="12">
        <v>86</v>
      </c>
      <c r="H3" s="12">
        <v>100</v>
      </c>
      <c r="I3" s="12">
        <v>99</v>
      </c>
      <c r="J3" s="12">
        <v>99</v>
      </c>
      <c r="K3" s="12">
        <v>99</v>
      </c>
      <c r="L3" s="12">
        <f>SUM(C3:K3)</f>
        <v>765</v>
      </c>
      <c r="M3" s="13">
        <f>L3/900</f>
        <v>0.85</v>
      </c>
      <c r="N3" s="12" t="s">
        <v>136</v>
      </c>
    </row>
    <row r="4" spans="1:14">
      <c r="A4" s="12" t="s">
        <v>3</v>
      </c>
      <c r="B4" s="14" t="s">
        <v>150</v>
      </c>
      <c r="C4" s="12">
        <v>74</v>
      </c>
      <c r="D4" s="12">
        <v>88</v>
      </c>
      <c r="E4" s="12">
        <v>74</v>
      </c>
      <c r="F4" s="12">
        <v>57</v>
      </c>
      <c r="G4" s="12">
        <v>73</v>
      </c>
      <c r="H4" s="12">
        <v>100</v>
      </c>
      <c r="I4" s="12">
        <v>99</v>
      </c>
      <c r="J4" s="12">
        <v>100</v>
      </c>
      <c r="K4" s="12">
        <v>99</v>
      </c>
      <c r="L4" s="12">
        <f t="shared" ref="L4:L67" si="0">SUM(C4:K4)</f>
        <v>764</v>
      </c>
      <c r="M4" s="13">
        <f t="shared" ref="M4:M67" si="1">L4/900</f>
        <v>0.84888888888888892</v>
      </c>
      <c r="N4" s="12" t="s">
        <v>136</v>
      </c>
    </row>
    <row r="5" spans="1:14">
      <c r="A5" s="15" t="s">
        <v>4</v>
      </c>
      <c r="B5" s="16" t="s">
        <v>151</v>
      </c>
      <c r="C5" s="15" t="s">
        <v>69</v>
      </c>
      <c r="D5" s="15" t="s">
        <v>69</v>
      </c>
      <c r="E5" s="15" t="s">
        <v>69</v>
      </c>
      <c r="F5" s="15" t="s">
        <v>69</v>
      </c>
      <c r="G5" s="15" t="s">
        <v>69</v>
      </c>
      <c r="H5" s="15" t="s">
        <v>69</v>
      </c>
      <c r="I5" s="15" t="s">
        <v>69</v>
      </c>
      <c r="J5" s="15" t="s">
        <v>69</v>
      </c>
      <c r="K5" s="15" t="s">
        <v>69</v>
      </c>
      <c r="L5" s="15">
        <f t="shared" si="0"/>
        <v>0</v>
      </c>
      <c r="M5" s="17">
        <f t="shared" si="1"/>
        <v>0</v>
      </c>
      <c r="N5" s="15" t="s">
        <v>69</v>
      </c>
    </row>
    <row r="6" spans="1:14">
      <c r="A6" s="12" t="s">
        <v>5</v>
      </c>
      <c r="B6" s="14" t="s">
        <v>152</v>
      </c>
      <c r="C6" s="12">
        <v>56</v>
      </c>
      <c r="D6" s="12">
        <v>66</v>
      </c>
      <c r="E6" s="12">
        <v>72</v>
      </c>
      <c r="F6" s="12">
        <v>66</v>
      </c>
      <c r="G6" s="12">
        <v>81</v>
      </c>
      <c r="H6" s="12">
        <v>98</v>
      </c>
      <c r="I6" s="12">
        <v>98</v>
      </c>
      <c r="J6" s="12">
        <v>95</v>
      </c>
      <c r="K6" s="12">
        <v>94</v>
      </c>
      <c r="L6" s="12">
        <f t="shared" si="0"/>
        <v>726</v>
      </c>
      <c r="M6" s="13">
        <f t="shared" si="1"/>
        <v>0.80666666666666664</v>
      </c>
      <c r="N6" s="12" t="s">
        <v>136</v>
      </c>
    </row>
    <row r="7" spans="1:14">
      <c r="A7" s="12" t="s">
        <v>6</v>
      </c>
      <c r="B7" s="14" t="s">
        <v>153</v>
      </c>
      <c r="C7" s="12">
        <v>83</v>
      </c>
      <c r="D7" s="12">
        <v>76</v>
      </c>
      <c r="E7" s="12">
        <v>95</v>
      </c>
      <c r="F7" s="12">
        <v>85</v>
      </c>
      <c r="G7" s="12">
        <v>90</v>
      </c>
      <c r="H7" s="12">
        <v>99</v>
      </c>
      <c r="I7" s="12">
        <v>98</v>
      </c>
      <c r="J7" s="12">
        <v>99</v>
      </c>
      <c r="K7" s="12">
        <v>99</v>
      </c>
      <c r="L7" s="12">
        <f t="shared" si="0"/>
        <v>824</v>
      </c>
      <c r="M7" s="13">
        <f t="shared" si="1"/>
        <v>0.91555555555555557</v>
      </c>
      <c r="N7" s="12" t="s">
        <v>136</v>
      </c>
    </row>
    <row r="8" spans="1:14">
      <c r="A8" s="12" t="s">
        <v>7</v>
      </c>
      <c r="B8" s="14" t="s">
        <v>154</v>
      </c>
      <c r="C8" s="12">
        <v>80</v>
      </c>
      <c r="D8" s="12">
        <v>76</v>
      </c>
      <c r="E8" s="12">
        <v>91</v>
      </c>
      <c r="F8" s="12">
        <v>93</v>
      </c>
      <c r="G8" s="12">
        <v>92</v>
      </c>
      <c r="H8" s="12">
        <v>100</v>
      </c>
      <c r="I8" s="12">
        <v>100</v>
      </c>
      <c r="J8" s="12">
        <v>100</v>
      </c>
      <c r="K8" s="12">
        <v>100</v>
      </c>
      <c r="L8" s="12">
        <f t="shared" si="0"/>
        <v>832</v>
      </c>
      <c r="M8" s="13">
        <f t="shared" si="1"/>
        <v>0.9244444444444444</v>
      </c>
      <c r="N8" s="12" t="s">
        <v>136</v>
      </c>
    </row>
    <row r="9" spans="1:14">
      <c r="A9" s="12" t="s">
        <v>8</v>
      </c>
      <c r="B9" s="14" t="s">
        <v>155</v>
      </c>
      <c r="C9" s="12">
        <v>98</v>
      </c>
      <c r="D9" s="12">
        <v>93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f t="shared" si="0"/>
        <v>891</v>
      </c>
      <c r="M9" s="13">
        <f t="shared" si="1"/>
        <v>0.99</v>
      </c>
      <c r="N9" s="12" t="s">
        <v>136</v>
      </c>
    </row>
    <row r="10" spans="1:14">
      <c r="A10" s="12" t="s">
        <v>9</v>
      </c>
      <c r="B10" s="14" t="s">
        <v>156</v>
      </c>
      <c r="C10" s="12">
        <v>68</v>
      </c>
      <c r="D10" s="12">
        <v>62</v>
      </c>
      <c r="E10" s="12">
        <v>68</v>
      </c>
      <c r="F10" s="12">
        <v>71</v>
      </c>
      <c r="G10" s="12">
        <v>46</v>
      </c>
      <c r="H10" s="12">
        <v>97</v>
      </c>
      <c r="I10" s="12">
        <v>97</v>
      </c>
      <c r="J10" s="12">
        <v>95</v>
      </c>
      <c r="K10" s="12">
        <v>93</v>
      </c>
      <c r="L10" s="12">
        <f t="shared" si="0"/>
        <v>697</v>
      </c>
      <c r="M10" s="13">
        <f t="shared" si="1"/>
        <v>0.77444444444444449</v>
      </c>
      <c r="N10" s="12" t="s">
        <v>136</v>
      </c>
    </row>
    <row r="11" spans="1:14">
      <c r="A11" s="12" t="s">
        <v>10</v>
      </c>
      <c r="B11" s="14" t="s">
        <v>157</v>
      </c>
      <c r="C11" s="12">
        <v>28</v>
      </c>
      <c r="D11" s="12">
        <v>26</v>
      </c>
      <c r="E11" s="12">
        <v>31</v>
      </c>
      <c r="F11" s="12">
        <v>50</v>
      </c>
      <c r="G11" s="12">
        <v>33</v>
      </c>
      <c r="H11" s="12">
        <v>99</v>
      </c>
      <c r="I11" s="12">
        <v>99</v>
      </c>
      <c r="J11" s="12">
        <v>100</v>
      </c>
      <c r="K11" s="12">
        <v>100</v>
      </c>
      <c r="L11" s="12">
        <f t="shared" si="0"/>
        <v>566</v>
      </c>
      <c r="M11" s="13">
        <f t="shared" si="1"/>
        <v>0.62888888888888894</v>
      </c>
      <c r="N11" s="18" t="s">
        <v>281</v>
      </c>
    </row>
    <row r="12" spans="1:14">
      <c r="A12" s="12" t="s">
        <v>11</v>
      </c>
      <c r="B12" s="14" t="s">
        <v>158</v>
      </c>
      <c r="C12" s="12">
        <v>83</v>
      </c>
      <c r="D12" s="12">
        <v>77</v>
      </c>
      <c r="E12" s="12">
        <v>72</v>
      </c>
      <c r="F12" s="12">
        <v>90</v>
      </c>
      <c r="G12" s="12">
        <v>70</v>
      </c>
      <c r="H12" s="12">
        <v>100</v>
      </c>
      <c r="I12" s="12">
        <v>100</v>
      </c>
      <c r="J12" s="12">
        <v>100</v>
      </c>
      <c r="K12" s="12">
        <v>100</v>
      </c>
      <c r="L12" s="12">
        <f t="shared" si="0"/>
        <v>792</v>
      </c>
      <c r="M12" s="13">
        <f t="shared" si="1"/>
        <v>0.88</v>
      </c>
      <c r="N12" s="12" t="s">
        <v>136</v>
      </c>
    </row>
    <row r="13" spans="1:14">
      <c r="A13" s="12" t="s">
        <v>12</v>
      </c>
      <c r="B13" s="14" t="s">
        <v>159</v>
      </c>
      <c r="C13" s="12">
        <v>93</v>
      </c>
      <c r="D13" s="12">
        <v>56</v>
      </c>
      <c r="E13" s="12">
        <v>46</v>
      </c>
      <c r="F13" s="12">
        <v>56</v>
      </c>
      <c r="G13" s="12">
        <v>52</v>
      </c>
      <c r="H13" s="12">
        <v>100</v>
      </c>
      <c r="I13" s="12">
        <v>100</v>
      </c>
      <c r="J13" s="12">
        <v>100</v>
      </c>
      <c r="K13" s="12">
        <v>100</v>
      </c>
      <c r="L13" s="12">
        <f t="shared" si="0"/>
        <v>703</v>
      </c>
      <c r="M13" s="13">
        <f t="shared" si="1"/>
        <v>0.78111111111111109</v>
      </c>
      <c r="N13" s="12" t="s">
        <v>136</v>
      </c>
    </row>
    <row r="14" spans="1:14">
      <c r="A14" s="12" t="s">
        <v>13</v>
      </c>
      <c r="B14" s="14" t="s">
        <v>160</v>
      </c>
      <c r="C14" s="12">
        <v>63</v>
      </c>
      <c r="D14" s="12">
        <v>86</v>
      </c>
      <c r="E14" s="12">
        <v>54</v>
      </c>
      <c r="F14" s="12">
        <v>51</v>
      </c>
      <c r="G14" s="12">
        <v>70</v>
      </c>
      <c r="H14" s="12">
        <v>100</v>
      </c>
      <c r="I14" s="12">
        <v>97</v>
      </c>
      <c r="J14" s="12">
        <v>98</v>
      </c>
      <c r="K14" s="12">
        <v>97</v>
      </c>
      <c r="L14" s="12">
        <f t="shared" si="0"/>
        <v>716</v>
      </c>
      <c r="M14" s="13">
        <f t="shared" si="1"/>
        <v>0.79555555555555557</v>
      </c>
      <c r="N14" s="12" t="s">
        <v>136</v>
      </c>
    </row>
    <row r="15" spans="1:14">
      <c r="A15" s="12" t="s">
        <v>14</v>
      </c>
      <c r="B15" s="14" t="s">
        <v>161</v>
      </c>
      <c r="C15" s="12">
        <v>98</v>
      </c>
      <c r="D15" s="12">
        <v>82</v>
      </c>
      <c r="E15" s="12">
        <v>94</v>
      </c>
      <c r="F15" s="12">
        <v>72</v>
      </c>
      <c r="G15" s="12">
        <v>88</v>
      </c>
      <c r="H15" s="12">
        <v>100</v>
      </c>
      <c r="I15" s="12">
        <v>100</v>
      </c>
      <c r="J15" s="12">
        <v>100</v>
      </c>
      <c r="K15" s="12">
        <v>100</v>
      </c>
      <c r="L15" s="12">
        <f t="shared" si="0"/>
        <v>834</v>
      </c>
      <c r="M15" s="13">
        <f t="shared" si="1"/>
        <v>0.92666666666666664</v>
      </c>
      <c r="N15" s="12" t="s">
        <v>136</v>
      </c>
    </row>
    <row r="16" spans="1:14">
      <c r="A16" s="12" t="s">
        <v>15</v>
      </c>
      <c r="B16" s="14" t="s">
        <v>162</v>
      </c>
      <c r="C16" s="12">
        <v>85</v>
      </c>
      <c r="D16" s="12">
        <v>67</v>
      </c>
      <c r="E16" s="12">
        <v>80</v>
      </c>
      <c r="F16" s="12">
        <v>47</v>
      </c>
      <c r="G16" s="12">
        <v>83</v>
      </c>
      <c r="H16" s="12">
        <v>99</v>
      </c>
      <c r="I16" s="12">
        <v>97</v>
      </c>
      <c r="J16" s="12">
        <v>96</v>
      </c>
      <c r="K16" s="12">
        <v>98</v>
      </c>
      <c r="L16" s="12">
        <f t="shared" si="0"/>
        <v>752</v>
      </c>
      <c r="M16" s="13">
        <f t="shared" si="1"/>
        <v>0.83555555555555561</v>
      </c>
      <c r="N16" s="12" t="s">
        <v>136</v>
      </c>
    </row>
    <row r="17" spans="1:14">
      <c r="A17" s="12" t="s">
        <v>16</v>
      </c>
      <c r="B17" s="14" t="s">
        <v>163</v>
      </c>
      <c r="C17" s="12">
        <v>73</v>
      </c>
      <c r="D17" s="12">
        <v>32</v>
      </c>
      <c r="E17" s="12">
        <v>64</v>
      </c>
      <c r="F17" s="12">
        <v>61</v>
      </c>
      <c r="G17" s="12">
        <v>68</v>
      </c>
      <c r="H17" s="12">
        <v>100</v>
      </c>
      <c r="I17" s="12">
        <v>98</v>
      </c>
      <c r="J17" s="12">
        <v>99</v>
      </c>
      <c r="K17" s="12">
        <v>99</v>
      </c>
      <c r="L17" s="12">
        <f t="shared" si="0"/>
        <v>694</v>
      </c>
      <c r="M17" s="13">
        <f t="shared" si="1"/>
        <v>0.77111111111111108</v>
      </c>
      <c r="N17" s="18" t="s">
        <v>140</v>
      </c>
    </row>
    <row r="18" spans="1:14">
      <c r="A18" s="12" t="s">
        <v>17</v>
      </c>
      <c r="B18" s="14" t="s">
        <v>164</v>
      </c>
      <c r="C18" s="12">
        <v>86</v>
      </c>
      <c r="D18" s="12">
        <v>61</v>
      </c>
      <c r="E18" s="12">
        <v>81</v>
      </c>
      <c r="F18" s="12">
        <v>87</v>
      </c>
      <c r="G18" s="12">
        <v>85</v>
      </c>
      <c r="H18" s="12">
        <v>99</v>
      </c>
      <c r="I18" s="12">
        <v>98</v>
      </c>
      <c r="J18" s="12">
        <v>97</v>
      </c>
      <c r="K18" s="12">
        <v>98</v>
      </c>
      <c r="L18" s="12">
        <f t="shared" si="0"/>
        <v>792</v>
      </c>
      <c r="M18" s="13">
        <f t="shared" si="1"/>
        <v>0.88</v>
      </c>
      <c r="N18" s="12" t="s">
        <v>136</v>
      </c>
    </row>
    <row r="19" spans="1:14">
      <c r="A19" s="12" t="s">
        <v>18</v>
      </c>
      <c r="B19" s="14" t="s">
        <v>165</v>
      </c>
      <c r="C19" s="12">
        <v>49</v>
      </c>
      <c r="D19" s="12">
        <v>51</v>
      </c>
      <c r="E19" s="12">
        <v>68</v>
      </c>
      <c r="F19" s="12">
        <v>70</v>
      </c>
      <c r="G19" s="12">
        <v>72</v>
      </c>
      <c r="H19" s="12">
        <v>97</v>
      </c>
      <c r="I19" s="12">
        <v>96</v>
      </c>
      <c r="J19" s="12">
        <v>96</v>
      </c>
      <c r="K19" s="12">
        <v>97</v>
      </c>
      <c r="L19" s="12">
        <f t="shared" si="0"/>
        <v>696</v>
      </c>
      <c r="M19" s="13">
        <f t="shared" si="1"/>
        <v>0.77333333333333332</v>
      </c>
      <c r="N19" s="12" t="s">
        <v>136</v>
      </c>
    </row>
    <row r="20" spans="1:14">
      <c r="A20" s="12" t="s">
        <v>19</v>
      </c>
      <c r="B20" s="14" t="s">
        <v>166</v>
      </c>
      <c r="C20" s="12">
        <v>26</v>
      </c>
      <c r="D20" s="12">
        <v>27</v>
      </c>
      <c r="E20" s="12">
        <v>42</v>
      </c>
      <c r="F20" s="12">
        <v>48</v>
      </c>
      <c r="G20" s="12">
        <v>44</v>
      </c>
      <c r="H20" s="12">
        <v>93</v>
      </c>
      <c r="I20" s="12">
        <v>92</v>
      </c>
      <c r="J20" s="12">
        <v>94</v>
      </c>
      <c r="K20" s="12">
        <v>94</v>
      </c>
      <c r="L20" s="12">
        <f t="shared" si="0"/>
        <v>560</v>
      </c>
      <c r="M20" s="13">
        <f t="shared" si="1"/>
        <v>0.62222222222222223</v>
      </c>
      <c r="N20" s="18" t="s">
        <v>141</v>
      </c>
    </row>
    <row r="21" spans="1:14">
      <c r="A21" s="12" t="s">
        <v>20</v>
      </c>
      <c r="B21" s="14" t="s">
        <v>167</v>
      </c>
      <c r="C21" s="12">
        <v>52</v>
      </c>
      <c r="D21" s="12">
        <v>57</v>
      </c>
      <c r="E21" s="12">
        <v>55</v>
      </c>
      <c r="F21" s="12">
        <v>63</v>
      </c>
      <c r="G21" s="12">
        <v>65</v>
      </c>
      <c r="H21" s="12">
        <v>96</v>
      </c>
      <c r="I21" s="12">
        <v>94</v>
      </c>
      <c r="J21" s="12">
        <v>94</v>
      </c>
      <c r="K21" s="12">
        <v>96</v>
      </c>
      <c r="L21" s="12">
        <f t="shared" si="0"/>
        <v>672</v>
      </c>
      <c r="M21" s="13">
        <f t="shared" si="1"/>
        <v>0.7466666666666667</v>
      </c>
      <c r="N21" s="12" t="s">
        <v>136</v>
      </c>
    </row>
    <row r="22" spans="1:14">
      <c r="A22" s="12" t="s">
        <v>21</v>
      </c>
      <c r="B22" s="14" t="s">
        <v>168</v>
      </c>
      <c r="C22" s="12">
        <v>90</v>
      </c>
      <c r="D22" s="12">
        <v>89</v>
      </c>
      <c r="E22" s="12">
        <v>80</v>
      </c>
      <c r="F22" s="12">
        <v>53</v>
      </c>
      <c r="G22" s="12">
        <v>76</v>
      </c>
      <c r="H22" s="12">
        <v>98</v>
      </c>
      <c r="I22" s="12">
        <v>96</v>
      </c>
      <c r="J22" s="12">
        <v>97</v>
      </c>
      <c r="K22" s="12">
        <v>98</v>
      </c>
      <c r="L22" s="12">
        <f t="shared" si="0"/>
        <v>777</v>
      </c>
      <c r="M22" s="13">
        <f t="shared" si="1"/>
        <v>0.86333333333333329</v>
      </c>
      <c r="N22" s="12" t="s">
        <v>136</v>
      </c>
    </row>
    <row r="23" spans="1:14">
      <c r="A23" s="12" t="s">
        <v>22</v>
      </c>
      <c r="B23" s="14" t="s">
        <v>169</v>
      </c>
      <c r="C23" s="12">
        <v>67</v>
      </c>
      <c r="D23" s="12">
        <v>96</v>
      </c>
      <c r="E23" s="12">
        <v>77</v>
      </c>
      <c r="F23" s="12">
        <v>79</v>
      </c>
      <c r="G23" s="12">
        <v>89</v>
      </c>
      <c r="H23" s="12">
        <v>100</v>
      </c>
      <c r="I23" s="12">
        <v>99</v>
      </c>
      <c r="J23" s="12">
        <v>100</v>
      </c>
      <c r="K23" s="12">
        <v>100</v>
      </c>
      <c r="L23" s="12">
        <f t="shared" si="0"/>
        <v>807</v>
      </c>
      <c r="M23" s="13">
        <f t="shared" si="1"/>
        <v>0.89666666666666661</v>
      </c>
      <c r="N23" s="12" t="s">
        <v>136</v>
      </c>
    </row>
    <row r="24" spans="1:14">
      <c r="A24" s="12" t="s">
        <v>23</v>
      </c>
      <c r="B24" s="14" t="s">
        <v>170</v>
      </c>
      <c r="C24" s="12">
        <v>99</v>
      </c>
      <c r="D24" s="12">
        <v>96</v>
      </c>
      <c r="E24" s="12">
        <v>96</v>
      </c>
      <c r="F24" s="12">
        <v>90</v>
      </c>
      <c r="G24" s="12">
        <v>84</v>
      </c>
      <c r="H24" s="12">
        <v>100</v>
      </c>
      <c r="I24" s="12">
        <v>100</v>
      </c>
      <c r="J24" s="12">
        <v>100</v>
      </c>
      <c r="K24" s="12">
        <v>100</v>
      </c>
      <c r="L24" s="12">
        <f t="shared" si="0"/>
        <v>865</v>
      </c>
      <c r="M24" s="13">
        <f t="shared" si="1"/>
        <v>0.96111111111111114</v>
      </c>
      <c r="N24" s="12" t="s">
        <v>136</v>
      </c>
    </row>
    <row r="25" spans="1:14">
      <c r="A25" s="12" t="s">
        <v>24</v>
      </c>
      <c r="B25" s="14" t="s">
        <v>171</v>
      </c>
      <c r="C25" s="12">
        <v>91</v>
      </c>
      <c r="D25" s="12">
        <v>82</v>
      </c>
      <c r="E25" s="12">
        <v>90</v>
      </c>
      <c r="F25" s="12">
        <v>71</v>
      </c>
      <c r="G25" s="12">
        <v>76</v>
      </c>
      <c r="H25" s="12">
        <v>99</v>
      </c>
      <c r="I25" s="12">
        <v>97</v>
      </c>
      <c r="J25" s="12">
        <v>97</v>
      </c>
      <c r="K25" s="12">
        <v>97</v>
      </c>
      <c r="L25" s="12">
        <f t="shared" si="0"/>
        <v>800</v>
      </c>
      <c r="M25" s="13">
        <f t="shared" si="1"/>
        <v>0.88888888888888884</v>
      </c>
      <c r="N25" s="12" t="s">
        <v>136</v>
      </c>
    </row>
    <row r="26" spans="1:14" ht="24" customHeight="1">
      <c r="A26" s="12" t="s">
        <v>25</v>
      </c>
      <c r="B26" s="19" t="s">
        <v>172</v>
      </c>
      <c r="C26" s="12">
        <v>84</v>
      </c>
      <c r="D26" s="12">
        <v>48</v>
      </c>
      <c r="E26" s="12">
        <v>75</v>
      </c>
      <c r="F26" s="12">
        <v>80</v>
      </c>
      <c r="G26" s="12">
        <v>74</v>
      </c>
      <c r="H26" s="12">
        <v>100</v>
      </c>
      <c r="I26" s="12">
        <v>100</v>
      </c>
      <c r="J26" s="12">
        <v>100</v>
      </c>
      <c r="K26" s="12">
        <v>100</v>
      </c>
      <c r="L26" s="12">
        <f t="shared" si="0"/>
        <v>761</v>
      </c>
      <c r="M26" s="13">
        <f>L26/900</f>
        <v>0.8455555555555555</v>
      </c>
      <c r="N26" s="12" t="s">
        <v>136</v>
      </c>
    </row>
    <row r="27" spans="1:14">
      <c r="A27" s="12" t="s">
        <v>26</v>
      </c>
      <c r="B27" s="14" t="s">
        <v>173</v>
      </c>
      <c r="C27" s="12">
        <v>12</v>
      </c>
      <c r="D27" s="12">
        <v>25</v>
      </c>
      <c r="E27" s="12">
        <v>39</v>
      </c>
      <c r="F27" s="12">
        <v>29</v>
      </c>
      <c r="G27" s="12">
        <v>53</v>
      </c>
      <c r="H27" s="12">
        <v>95</v>
      </c>
      <c r="I27" s="12">
        <v>94</v>
      </c>
      <c r="J27" s="12">
        <v>95</v>
      </c>
      <c r="K27" s="12">
        <v>94</v>
      </c>
      <c r="L27" s="12">
        <f t="shared" si="0"/>
        <v>536</v>
      </c>
      <c r="M27" s="13">
        <f t="shared" si="1"/>
        <v>0.5955555555555555</v>
      </c>
      <c r="N27" s="18" t="s">
        <v>144</v>
      </c>
    </row>
    <row r="28" spans="1:14">
      <c r="A28" s="12" t="s">
        <v>27</v>
      </c>
      <c r="B28" s="14" t="s">
        <v>174</v>
      </c>
      <c r="C28" s="12">
        <v>38</v>
      </c>
      <c r="D28" s="12">
        <v>39</v>
      </c>
      <c r="E28" s="12">
        <v>59</v>
      </c>
      <c r="F28" s="12">
        <v>31</v>
      </c>
      <c r="G28" s="12">
        <v>59</v>
      </c>
      <c r="H28" s="12">
        <v>95</v>
      </c>
      <c r="I28" s="12">
        <v>94</v>
      </c>
      <c r="J28" s="12">
        <v>96</v>
      </c>
      <c r="K28" s="12">
        <v>93</v>
      </c>
      <c r="L28" s="12">
        <f t="shared" si="0"/>
        <v>604</v>
      </c>
      <c r="M28" s="13">
        <f t="shared" si="1"/>
        <v>0.6711111111111111</v>
      </c>
      <c r="N28" s="18" t="s">
        <v>142</v>
      </c>
    </row>
    <row r="29" spans="1:14">
      <c r="A29" s="12" t="s">
        <v>28</v>
      </c>
      <c r="B29" s="14" t="s">
        <v>175</v>
      </c>
      <c r="C29" s="12">
        <v>66</v>
      </c>
      <c r="D29" s="12">
        <v>49</v>
      </c>
      <c r="E29" s="12">
        <v>47</v>
      </c>
      <c r="F29" s="12">
        <v>37</v>
      </c>
      <c r="G29" s="12">
        <v>56</v>
      </c>
      <c r="H29" s="12">
        <v>95</v>
      </c>
      <c r="I29" s="12">
        <v>95</v>
      </c>
      <c r="J29" s="12">
        <v>95</v>
      </c>
      <c r="K29" s="12">
        <v>94</v>
      </c>
      <c r="L29" s="12">
        <f t="shared" si="0"/>
        <v>634</v>
      </c>
      <c r="M29" s="13">
        <f t="shared" si="1"/>
        <v>0.70444444444444443</v>
      </c>
      <c r="N29" s="12" t="s">
        <v>136</v>
      </c>
    </row>
    <row r="30" spans="1:14">
      <c r="A30" s="12" t="s">
        <v>29</v>
      </c>
      <c r="B30" s="14" t="s">
        <v>176</v>
      </c>
      <c r="C30" s="12">
        <v>68</v>
      </c>
      <c r="D30" s="12">
        <v>55</v>
      </c>
      <c r="E30" s="12">
        <v>60</v>
      </c>
      <c r="F30" s="12">
        <v>61</v>
      </c>
      <c r="G30" s="12">
        <v>87</v>
      </c>
      <c r="H30" s="12">
        <v>96</v>
      </c>
      <c r="I30" s="12">
        <v>95</v>
      </c>
      <c r="J30" s="12">
        <v>94</v>
      </c>
      <c r="K30" s="12">
        <v>95</v>
      </c>
      <c r="L30" s="12">
        <f t="shared" si="0"/>
        <v>711</v>
      </c>
      <c r="M30" s="13">
        <f t="shared" si="1"/>
        <v>0.79</v>
      </c>
      <c r="N30" s="12" t="s">
        <v>136</v>
      </c>
    </row>
    <row r="31" spans="1:14">
      <c r="A31" s="12" t="s">
        <v>30</v>
      </c>
      <c r="B31" s="14" t="s">
        <v>177</v>
      </c>
      <c r="C31" s="12">
        <v>80</v>
      </c>
      <c r="D31" s="12">
        <v>84</v>
      </c>
      <c r="E31" s="12">
        <v>91</v>
      </c>
      <c r="F31" s="12">
        <v>66</v>
      </c>
      <c r="G31" s="12">
        <v>85</v>
      </c>
      <c r="H31" s="12">
        <v>100</v>
      </c>
      <c r="I31" s="12">
        <v>100</v>
      </c>
      <c r="J31" s="12">
        <v>100</v>
      </c>
      <c r="K31" s="12">
        <v>100</v>
      </c>
      <c r="L31" s="12">
        <f t="shared" si="0"/>
        <v>806</v>
      </c>
      <c r="M31" s="13">
        <f t="shared" si="1"/>
        <v>0.89555555555555555</v>
      </c>
      <c r="N31" s="12" t="s">
        <v>136</v>
      </c>
    </row>
    <row r="32" spans="1:14">
      <c r="A32" s="12" t="s">
        <v>31</v>
      </c>
      <c r="B32" s="14" t="s">
        <v>178</v>
      </c>
      <c r="C32" s="12">
        <v>64</v>
      </c>
      <c r="D32" s="12">
        <v>58</v>
      </c>
      <c r="E32" s="12">
        <v>59</v>
      </c>
      <c r="F32" s="12">
        <v>37</v>
      </c>
      <c r="G32" s="12">
        <v>61</v>
      </c>
      <c r="H32" s="12">
        <v>97</v>
      </c>
      <c r="I32" s="12">
        <v>95</v>
      </c>
      <c r="J32" s="12">
        <v>95</v>
      </c>
      <c r="K32" s="12">
        <v>95</v>
      </c>
      <c r="L32" s="12">
        <f t="shared" si="0"/>
        <v>661</v>
      </c>
      <c r="M32" s="13">
        <f t="shared" si="1"/>
        <v>0.73444444444444446</v>
      </c>
      <c r="N32" s="12" t="s">
        <v>136</v>
      </c>
    </row>
    <row r="33" spans="1:14">
      <c r="A33" s="12" t="s">
        <v>32</v>
      </c>
      <c r="B33" s="14" t="s">
        <v>179</v>
      </c>
      <c r="C33" s="12">
        <v>19</v>
      </c>
      <c r="D33" s="12">
        <v>53</v>
      </c>
      <c r="E33" s="12">
        <v>53</v>
      </c>
      <c r="F33" s="12">
        <v>37</v>
      </c>
      <c r="G33" s="12">
        <v>45</v>
      </c>
      <c r="H33" s="12">
        <v>97</v>
      </c>
      <c r="I33" s="12">
        <v>95</v>
      </c>
      <c r="J33" s="12">
        <v>96</v>
      </c>
      <c r="K33" s="12">
        <v>96</v>
      </c>
      <c r="L33" s="12">
        <f t="shared" si="0"/>
        <v>591</v>
      </c>
      <c r="M33" s="13">
        <f t="shared" si="1"/>
        <v>0.65666666666666662</v>
      </c>
      <c r="N33" s="18" t="s">
        <v>143</v>
      </c>
    </row>
    <row r="34" spans="1:14">
      <c r="A34" s="12" t="s">
        <v>33</v>
      </c>
      <c r="B34" s="14" t="s">
        <v>180</v>
      </c>
      <c r="C34" s="12">
        <v>59</v>
      </c>
      <c r="D34" s="12">
        <v>62</v>
      </c>
      <c r="E34" s="12">
        <v>71</v>
      </c>
      <c r="F34" s="12">
        <v>56</v>
      </c>
      <c r="G34" s="12">
        <v>79</v>
      </c>
      <c r="H34" s="12">
        <v>98</v>
      </c>
      <c r="I34" s="12">
        <v>96</v>
      </c>
      <c r="J34" s="12">
        <v>95</v>
      </c>
      <c r="K34" s="12">
        <v>96</v>
      </c>
      <c r="L34" s="12">
        <f t="shared" si="0"/>
        <v>712</v>
      </c>
      <c r="M34" s="13">
        <f t="shared" si="1"/>
        <v>0.7911111111111111</v>
      </c>
      <c r="N34" s="12" t="s">
        <v>136</v>
      </c>
    </row>
    <row r="35" spans="1:14" ht="15.75" thickBot="1">
      <c r="A35" s="15" t="s">
        <v>34</v>
      </c>
      <c r="B35" s="16" t="s">
        <v>181</v>
      </c>
      <c r="C35" s="15" t="s">
        <v>69</v>
      </c>
      <c r="D35" s="15" t="s">
        <v>69</v>
      </c>
      <c r="E35" s="15" t="s">
        <v>69</v>
      </c>
      <c r="F35" s="15" t="s">
        <v>69</v>
      </c>
      <c r="G35" s="15" t="s">
        <v>69</v>
      </c>
      <c r="H35" s="15" t="s">
        <v>69</v>
      </c>
      <c r="I35" s="15" t="s">
        <v>69</v>
      </c>
      <c r="J35" s="15" t="s">
        <v>69</v>
      </c>
      <c r="K35" s="15" t="s">
        <v>69</v>
      </c>
      <c r="L35" s="15">
        <f t="shared" si="0"/>
        <v>0</v>
      </c>
      <c r="M35" s="17">
        <f t="shared" si="1"/>
        <v>0</v>
      </c>
      <c r="N35" s="15" t="s">
        <v>69</v>
      </c>
    </row>
    <row r="36" spans="1:14" ht="15.75" thickBot="1">
      <c r="A36" s="12" t="s">
        <v>35</v>
      </c>
      <c r="B36" s="20" t="s">
        <v>182</v>
      </c>
      <c r="C36" s="12">
        <v>72</v>
      </c>
      <c r="D36" s="12">
        <v>90</v>
      </c>
      <c r="E36" s="12">
        <v>80</v>
      </c>
      <c r="F36" s="12">
        <v>75</v>
      </c>
      <c r="G36" s="12">
        <v>80</v>
      </c>
      <c r="H36" s="12">
        <v>100</v>
      </c>
      <c r="I36" s="12">
        <v>99</v>
      </c>
      <c r="J36" s="12">
        <v>99</v>
      </c>
      <c r="K36" s="12">
        <v>100</v>
      </c>
      <c r="L36" s="12">
        <f t="shared" si="0"/>
        <v>795</v>
      </c>
      <c r="M36" s="13">
        <f t="shared" si="1"/>
        <v>0.8833333333333333</v>
      </c>
      <c r="N36" s="12" t="s">
        <v>136</v>
      </c>
    </row>
    <row r="37" spans="1:14">
      <c r="A37" s="12" t="s">
        <v>36</v>
      </c>
      <c r="B37" s="21" t="s">
        <v>183</v>
      </c>
      <c r="C37" s="12">
        <v>52</v>
      </c>
      <c r="D37" s="12">
        <v>58</v>
      </c>
      <c r="E37" s="12">
        <v>67</v>
      </c>
      <c r="F37" s="12">
        <v>46</v>
      </c>
      <c r="G37" s="12">
        <v>94</v>
      </c>
      <c r="H37" s="12">
        <v>100</v>
      </c>
      <c r="I37" s="12">
        <v>99</v>
      </c>
      <c r="J37" s="12">
        <v>100</v>
      </c>
      <c r="K37" s="12">
        <v>100</v>
      </c>
      <c r="L37" s="12">
        <f t="shared" si="0"/>
        <v>716</v>
      </c>
      <c r="M37" s="13">
        <f t="shared" si="1"/>
        <v>0.79555555555555557</v>
      </c>
      <c r="N37" s="12" t="s">
        <v>136</v>
      </c>
    </row>
    <row r="38" spans="1:14">
      <c r="A38" s="12" t="s">
        <v>37</v>
      </c>
      <c r="B38" s="21" t="s">
        <v>184</v>
      </c>
      <c r="C38" s="12">
        <v>47</v>
      </c>
      <c r="D38" s="12">
        <v>48</v>
      </c>
      <c r="E38" s="12">
        <v>44</v>
      </c>
      <c r="F38" s="12">
        <v>45</v>
      </c>
      <c r="G38" s="12">
        <v>88</v>
      </c>
      <c r="H38" s="12">
        <v>96</v>
      </c>
      <c r="I38" s="12">
        <v>93</v>
      </c>
      <c r="J38" s="12">
        <v>94</v>
      </c>
      <c r="K38" s="12">
        <v>95</v>
      </c>
      <c r="L38" s="12">
        <f t="shared" si="0"/>
        <v>650</v>
      </c>
      <c r="M38" s="13">
        <f t="shared" si="1"/>
        <v>0.72222222222222221</v>
      </c>
      <c r="N38" s="12" t="s">
        <v>136</v>
      </c>
    </row>
    <row r="39" spans="1:14">
      <c r="A39" s="12" t="s">
        <v>38</v>
      </c>
      <c r="B39" s="21" t="s">
        <v>185</v>
      </c>
      <c r="C39" s="12">
        <v>38</v>
      </c>
      <c r="D39" s="12">
        <v>53</v>
      </c>
      <c r="E39" s="12">
        <v>49</v>
      </c>
      <c r="F39" s="12">
        <v>29</v>
      </c>
      <c r="G39" s="12">
        <v>85</v>
      </c>
      <c r="H39" s="12">
        <v>98</v>
      </c>
      <c r="I39" s="12">
        <v>98</v>
      </c>
      <c r="J39" s="12">
        <v>96</v>
      </c>
      <c r="K39" s="12">
        <v>98</v>
      </c>
      <c r="L39" s="12">
        <f t="shared" si="0"/>
        <v>644</v>
      </c>
      <c r="M39" s="13">
        <f t="shared" si="1"/>
        <v>0.7155555555555555</v>
      </c>
      <c r="N39" s="18" t="s">
        <v>142</v>
      </c>
    </row>
    <row r="40" spans="1:14">
      <c r="A40" s="12" t="s">
        <v>39</v>
      </c>
      <c r="B40" s="21" t="s">
        <v>186</v>
      </c>
      <c r="C40" s="12">
        <v>90</v>
      </c>
      <c r="D40" s="12">
        <v>57</v>
      </c>
      <c r="E40" s="12">
        <v>60</v>
      </c>
      <c r="F40" s="12">
        <v>78</v>
      </c>
      <c r="G40" s="12">
        <v>88</v>
      </c>
      <c r="H40" s="12">
        <v>100</v>
      </c>
      <c r="I40" s="12">
        <v>100</v>
      </c>
      <c r="J40" s="12">
        <v>100</v>
      </c>
      <c r="K40" s="12">
        <v>99</v>
      </c>
      <c r="L40" s="12">
        <f t="shared" si="0"/>
        <v>772</v>
      </c>
      <c r="M40" s="13">
        <f t="shared" si="1"/>
        <v>0.85777777777777775</v>
      </c>
      <c r="N40" s="12" t="s">
        <v>136</v>
      </c>
    </row>
    <row r="41" spans="1:14">
      <c r="A41" s="12" t="s">
        <v>40</v>
      </c>
      <c r="B41" s="21" t="s">
        <v>187</v>
      </c>
      <c r="C41" s="12">
        <v>93</v>
      </c>
      <c r="D41" s="12">
        <v>63</v>
      </c>
      <c r="E41" s="12">
        <v>69</v>
      </c>
      <c r="F41" s="12">
        <v>75</v>
      </c>
      <c r="G41" s="12">
        <v>84</v>
      </c>
      <c r="H41" s="12">
        <v>100</v>
      </c>
      <c r="I41" s="12">
        <v>98</v>
      </c>
      <c r="J41" s="12">
        <v>98</v>
      </c>
      <c r="K41" s="12">
        <v>100</v>
      </c>
      <c r="L41" s="12">
        <f t="shared" si="0"/>
        <v>780</v>
      </c>
      <c r="M41" s="13">
        <f>L41/900</f>
        <v>0.8666666666666667</v>
      </c>
      <c r="N41" s="12" t="s">
        <v>136</v>
      </c>
    </row>
    <row r="42" spans="1:14">
      <c r="A42" s="12" t="s">
        <v>41</v>
      </c>
      <c r="B42" s="21" t="s">
        <v>188</v>
      </c>
      <c r="C42" s="12">
        <v>80</v>
      </c>
      <c r="D42" s="12">
        <v>61</v>
      </c>
      <c r="E42" s="12">
        <v>55</v>
      </c>
      <c r="F42" s="12">
        <v>53</v>
      </c>
      <c r="G42" s="12">
        <v>71</v>
      </c>
      <c r="H42" s="12">
        <v>96</v>
      </c>
      <c r="I42" s="12">
        <v>96</v>
      </c>
      <c r="J42" s="12">
        <v>94</v>
      </c>
      <c r="K42" s="12">
        <v>95</v>
      </c>
      <c r="L42" s="12">
        <f t="shared" si="0"/>
        <v>701</v>
      </c>
      <c r="M42" s="13">
        <f t="shared" si="1"/>
        <v>0.77888888888888885</v>
      </c>
      <c r="N42" s="12" t="s">
        <v>136</v>
      </c>
    </row>
    <row r="43" spans="1:14">
      <c r="A43" s="12" t="s">
        <v>42</v>
      </c>
      <c r="B43" s="21" t="s">
        <v>189</v>
      </c>
      <c r="C43" s="12">
        <v>81</v>
      </c>
      <c r="D43" s="12">
        <v>66</v>
      </c>
      <c r="E43" s="12">
        <v>54</v>
      </c>
      <c r="F43" s="12">
        <v>52</v>
      </c>
      <c r="G43" s="12">
        <v>74</v>
      </c>
      <c r="H43" s="12">
        <v>100</v>
      </c>
      <c r="I43" s="12">
        <v>99</v>
      </c>
      <c r="J43" s="12">
        <v>99</v>
      </c>
      <c r="K43" s="12">
        <v>99</v>
      </c>
      <c r="L43" s="12">
        <f t="shared" si="0"/>
        <v>724</v>
      </c>
      <c r="M43" s="13">
        <f t="shared" si="1"/>
        <v>0.80444444444444441</v>
      </c>
      <c r="N43" s="12" t="s">
        <v>136</v>
      </c>
    </row>
    <row r="44" spans="1:14">
      <c r="A44" s="12" t="s">
        <v>43</v>
      </c>
      <c r="B44" s="21" t="s">
        <v>190</v>
      </c>
      <c r="C44" s="12">
        <v>58</v>
      </c>
      <c r="D44" s="12">
        <v>77</v>
      </c>
      <c r="E44" s="12">
        <v>77</v>
      </c>
      <c r="F44" s="12">
        <v>77</v>
      </c>
      <c r="G44" s="12">
        <v>77</v>
      </c>
      <c r="H44" s="12">
        <v>100</v>
      </c>
      <c r="I44" s="12">
        <v>98</v>
      </c>
      <c r="J44" s="12">
        <v>97</v>
      </c>
      <c r="K44" s="12">
        <v>97</v>
      </c>
      <c r="L44" s="12">
        <f t="shared" si="0"/>
        <v>758</v>
      </c>
      <c r="M44" s="13">
        <f t="shared" si="1"/>
        <v>0.84222222222222221</v>
      </c>
      <c r="N44" s="12" t="s">
        <v>136</v>
      </c>
    </row>
    <row r="45" spans="1:14">
      <c r="A45" s="12" t="s">
        <v>44</v>
      </c>
      <c r="B45" s="21" t="s">
        <v>191</v>
      </c>
      <c r="C45" s="12">
        <v>79</v>
      </c>
      <c r="D45" s="12">
        <v>83</v>
      </c>
      <c r="E45" s="12">
        <v>83</v>
      </c>
      <c r="F45" s="12">
        <v>74</v>
      </c>
      <c r="G45" s="12">
        <v>81</v>
      </c>
      <c r="H45" s="12">
        <v>100</v>
      </c>
      <c r="I45" s="12">
        <v>100</v>
      </c>
      <c r="J45" s="12">
        <v>100</v>
      </c>
      <c r="K45" s="12">
        <v>100</v>
      </c>
      <c r="L45" s="12">
        <f t="shared" si="0"/>
        <v>800</v>
      </c>
      <c r="M45" s="13">
        <f t="shared" si="1"/>
        <v>0.88888888888888884</v>
      </c>
      <c r="N45" s="12" t="s">
        <v>136</v>
      </c>
    </row>
    <row r="46" spans="1:14">
      <c r="A46" s="12" t="s">
        <v>45</v>
      </c>
      <c r="B46" s="21" t="s">
        <v>192</v>
      </c>
      <c r="C46" s="12">
        <v>84</v>
      </c>
      <c r="D46" s="12">
        <v>94</v>
      </c>
      <c r="E46" s="12">
        <v>84</v>
      </c>
      <c r="F46" s="12">
        <v>68</v>
      </c>
      <c r="G46" s="12">
        <v>89</v>
      </c>
      <c r="H46" s="12">
        <v>98</v>
      </c>
      <c r="I46" s="12">
        <v>97</v>
      </c>
      <c r="J46" s="12">
        <v>98</v>
      </c>
      <c r="K46" s="12">
        <v>98</v>
      </c>
      <c r="L46" s="12">
        <f t="shared" si="0"/>
        <v>810</v>
      </c>
      <c r="M46" s="13">
        <f t="shared" si="1"/>
        <v>0.9</v>
      </c>
      <c r="N46" s="12" t="s">
        <v>136</v>
      </c>
    </row>
    <row r="47" spans="1:14">
      <c r="A47" s="12" t="s">
        <v>46</v>
      </c>
      <c r="B47" s="21" t="s">
        <v>193</v>
      </c>
      <c r="C47" s="12">
        <v>40</v>
      </c>
      <c r="D47" s="12">
        <v>41</v>
      </c>
      <c r="E47" s="12">
        <v>50</v>
      </c>
      <c r="F47" s="12">
        <v>34</v>
      </c>
      <c r="G47" s="12">
        <v>68</v>
      </c>
      <c r="H47" s="12">
        <v>98</v>
      </c>
      <c r="I47" s="12">
        <v>96</v>
      </c>
      <c r="J47" s="12">
        <v>98</v>
      </c>
      <c r="K47" s="12">
        <v>96</v>
      </c>
      <c r="L47" s="12">
        <f t="shared" si="0"/>
        <v>621</v>
      </c>
      <c r="M47" s="13">
        <f t="shared" si="1"/>
        <v>0.69</v>
      </c>
      <c r="N47" s="18" t="s">
        <v>142</v>
      </c>
    </row>
    <row r="48" spans="1:14" ht="29.25" customHeight="1">
      <c r="A48" s="12" t="s">
        <v>47</v>
      </c>
      <c r="B48" s="22" t="s">
        <v>194</v>
      </c>
      <c r="C48" s="12">
        <v>65</v>
      </c>
      <c r="D48" s="12">
        <v>57</v>
      </c>
      <c r="E48" s="12">
        <v>45</v>
      </c>
      <c r="F48" s="12">
        <v>48</v>
      </c>
      <c r="G48" s="12">
        <v>64</v>
      </c>
      <c r="H48" s="12">
        <v>100</v>
      </c>
      <c r="I48" s="12">
        <v>96</v>
      </c>
      <c r="J48" s="12">
        <v>96</v>
      </c>
      <c r="K48" s="12">
        <v>96</v>
      </c>
      <c r="L48" s="12">
        <f t="shared" si="0"/>
        <v>667</v>
      </c>
      <c r="M48" s="13">
        <f t="shared" si="1"/>
        <v>0.74111111111111116</v>
      </c>
      <c r="N48" s="12" t="s">
        <v>136</v>
      </c>
    </row>
    <row r="49" spans="1:14">
      <c r="A49" s="12" t="s">
        <v>48</v>
      </c>
      <c r="B49" s="21" t="s">
        <v>195</v>
      </c>
      <c r="C49" s="12">
        <v>24</v>
      </c>
      <c r="D49" s="12">
        <v>20</v>
      </c>
      <c r="E49" s="12">
        <v>56</v>
      </c>
      <c r="F49" s="12">
        <v>17</v>
      </c>
      <c r="G49" s="12">
        <v>62</v>
      </c>
      <c r="H49" s="12">
        <v>96</v>
      </c>
      <c r="I49" s="12">
        <v>93</v>
      </c>
      <c r="J49" s="12">
        <v>94</v>
      </c>
      <c r="K49" s="12">
        <v>95</v>
      </c>
      <c r="L49" s="12">
        <f t="shared" si="0"/>
        <v>557</v>
      </c>
      <c r="M49" s="13">
        <f t="shared" si="1"/>
        <v>0.61888888888888893</v>
      </c>
      <c r="N49" s="18" t="s">
        <v>144</v>
      </c>
    </row>
    <row r="50" spans="1:14">
      <c r="A50" s="12" t="s">
        <v>49</v>
      </c>
      <c r="B50" s="21" t="s">
        <v>196</v>
      </c>
      <c r="C50" s="12">
        <v>32</v>
      </c>
      <c r="D50" s="12">
        <v>30</v>
      </c>
      <c r="E50" s="12">
        <v>44</v>
      </c>
      <c r="F50" s="12">
        <v>39</v>
      </c>
      <c r="G50" s="12">
        <v>45</v>
      </c>
      <c r="H50" s="12">
        <v>98</v>
      </c>
      <c r="I50" s="12">
        <v>97</v>
      </c>
      <c r="J50" s="12">
        <v>97</v>
      </c>
      <c r="K50" s="12">
        <v>96</v>
      </c>
      <c r="L50" s="12">
        <f t="shared" si="0"/>
        <v>578</v>
      </c>
      <c r="M50" s="13">
        <f t="shared" si="1"/>
        <v>0.64222222222222225</v>
      </c>
      <c r="N50" s="18" t="s">
        <v>141</v>
      </c>
    </row>
    <row r="51" spans="1:14">
      <c r="A51" s="12" t="s">
        <v>50</v>
      </c>
      <c r="B51" s="21" t="s">
        <v>197</v>
      </c>
      <c r="C51" s="12">
        <v>78</v>
      </c>
      <c r="D51" s="12">
        <v>90</v>
      </c>
      <c r="E51" s="12">
        <v>80</v>
      </c>
      <c r="F51" s="12">
        <v>88</v>
      </c>
      <c r="G51" s="12">
        <v>78</v>
      </c>
      <c r="H51" s="12">
        <v>96</v>
      </c>
      <c r="I51" s="12">
        <v>96</v>
      </c>
      <c r="J51" s="12">
        <v>96</v>
      </c>
      <c r="K51" s="12">
        <v>94</v>
      </c>
      <c r="L51" s="12">
        <f t="shared" si="0"/>
        <v>796</v>
      </c>
      <c r="M51" s="13">
        <f t="shared" si="1"/>
        <v>0.88444444444444448</v>
      </c>
      <c r="N51" s="12" t="s">
        <v>136</v>
      </c>
    </row>
    <row r="52" spans="1:14">
      <c r="A52" s="12" t="s">
        <v>51</v>
      </c>
      <c r="B52" s="21" t="s">
        <v>198</v>
      </c>
      <c r="C52" s="12">
        <v>73</v>
      </c>
      <c r="D52" s="12">
        <v>56</v>
      </c>
      <c r="E52" s="12">
        <v>52</v>
      </c>
      <c r="F52" s="12">
        <v>72</v>
      </c>
      <c r="G52" s="12">
        <v>71</v>
      </c>
      <c r="H52" s="12">
        <v>97</v>
      </c>
      <c r="I52" s="12">
        <v>97</v>
      </c>
      <c r="J52" s="12">
        <v>96</v>
      </c>
      <c r="K52" s="12">
        <v>95</v>
      </c>
      <c r="L52" s="12">
        <f t="shared" si="0"/>
        <v>709</v>
      </c>
      <c r="M52" s="13">
        <f t="shared" si="1"/>
        <v>0.7877777777777778</v>
      </c>
      <c r="N52" s="12" t="s">
        <v>136</v>
      </c>
    </row>
    <row r="53" spans="1:14">
      <c r="A53" s="12" t="s">
        <v>52</v>
      </c>
      <c r="B53" s="14" t="s">
        <v>199</v>
      </c>
      <c r="C53" s="12">
        <v>96</v>
      </c>
      <c r="D53" s="12">
        <v>78</v>
      </c>
      <c r="E53" s="12">
        <v>92</v>
      </c>
      <c r="F53" s="12">
        <v>90</v>
      </c>
      <c r="G53" s="12">
        <v>85</v>
      </c>
      <c r="H53" s="12">
        <v>100</v>
      </c>
      <c r="I53" s="12">
        <v>100</v>
      </c>
      <c r="J53" s="12">
        <v>100</v>
      </c>
      <c r="K53" s="12">
        <v>100</v>
      </c>
      <c r="L53" s="12">
        <f t="shared" si="0"/>
        <v>841</v>
      </c>
      <c r="M53" s="13">
        <f t="shared" si="1"/>
        <v>0.93444444444444441</v>
      </c>
      <c r="N53" s="12" t="s">
        <v>136</v>
      </c>
    </row>
    <row r="54" spans="1:14">
      <c r="A54" s="12" t="s">
        <v>53</v>
      </c>
      <c r="B54" s="21" t="s">
        <v>200</v>
      </c>
      <c r="C54" s="12">
        <v>58</v>
      </c>
      <c r="D54" s="12">
        <v>80</v>
      </c>
      <c r="E54" s="12">
        <v>77</v>
      </c>
      <c r="F54" s="12">
        <v>72</v>
      </c>
      <c r="G54" s="12">
        <v>85</v>
      </c>
      <c r="H54" s="12">
        <v>97</v>
      </c>
      <c r="I54" s="12">
        <v>98</v>
      </c>
      <c r="J54" s="12">
        <v>97</v>
      </c>
      <c r="K54" s="12">
        <v>96</v>
      </c>
      <c r="L54" s="12">
        <f t="shared" si="0"/>
        <v>760</v>
      </c>
      <c r="M54" s="13">
        <f t="shared" si="1"/>
        <v>0.84444444444444444</v>
      </c>
      <c r="N54" s="12" t="s">
        <v>136</v>
      </c>
    </row>
    <row r="55" spans="1:14">
      <c r="A55" s="12" t="s">
        <v>54</v>
      </c>
      <c r="B55" s="14" t="s">
        <v>201</v>
      </c>
      <c r="C55" s="12">
        <v>77</v>
      </c>
      <c r="D55" s="12">
        <v>46</v>
      </c>
      <c r="E55" s="12">
        <v>58</v>
      </c>
      <c r="F55" s="12">
        <v>35</v>
      </c>
      <c r="G55" s="12">
        <v>60</v>
      </c>
      <c r="H55" s="12">
        <v>98</v>
      </c>
      <c r="I55" s="12">
        <v>96</v>
      </c>
      <c r="J55" s="12">
        <v>96</v>
      </c>
      <c r="K55" s="12">
        <v>95</v>
      </c>
      <c r="L55" s="12">
        <f t="shared" si="0"/>
        <v>661</v>
      </c>
      <c r="M55" s="13">
        <f t="shared" si="1"/>
        <v>0.73444444444444446</v>
      </c>
      <c r="N55" s="12" t="s">
        <v>136</v>
      </c>
    </row>
    <row r="56" spans="1:14">
      <c r="A56" s="12" t="s">
        <v>55</v>
      </c>
      <c r="B56" s="14" t="s">
        <v>202</v>
      </c>
      <c r="C56" s="12">
        <v>60</v>
      </c>
      <c r="D56" s="12">
        <v>40</v>
      </c>
      <c r="E56" s="12">
        <v>55</v>
      </c>
      <c r="F56" s="23">
        <v>47</v>
      </c>
      <c r="G56" s="23">
        <v>65</v>
      </c>
      <c r="H56" s="24">
        <v>97</v>
      </c>
      <c r="I56" s="12">
        <v>97</v>
      </c>
      <c r="J56" s="12">
        <v>96</v>
      </c>
      <c r="K56" s="12">
        <v>96</v>
      </c>
      <c r="L56" s="12">
        <f t="shared" si="0"/>
        <v>653</v>
      </c>
      <c r="M56" s="13">
        <f t="shared" si="1"/>
        <v>0.72555555555555551</v>
      </c>
      <c r="N56" s="12" t="s">
        <v>136</v>
      </c>
    </row>
    <row r="57" spans="1:14" ht="15.75" thickBot="1">
      <c r="A57" s="12" t="s">
        <v>56</v>
      </c>
      <c r="B57" s="14" t="s">
        <v>203</v>
      </c>
      <c r="C57" s="23">
        <v>75</v>
      </c>
      <c r="D57" s="23">
        <v>70</v>
      </c>
      <c r="E57" s="23">
        <v>86</v>
      </c>
      <c r="F57" s="23">
        <v>85</v>
      </c>
      <c r="G57" s="23">
        <v>91</v>
      </c>
      <c r="H57" s="23">
        <v>97</v>
      </c>
      <c r="I57" s="23">
        <v>96</v>
      </c>
      <c r="J57" s="23">
        <v>95</v>
      </c>
      <c r="K57" s="23">
        <v>96</v>
      </c>
      <c r="L57" s="12">
        <f t="shared" si="0"/>
        <v>791</v>
      </c>
      <c r="M57" s="13">
        <f t="shared" si="1"/>
        <v>0.87888888888888894</v>
      </c>
      <c r="N57" s="12" t="s">
        <v>136</v>
      </c>
    </row>
    <row r="58" spans="1:14" ht="15.75" thickBot="1">
      <c r="A58" s="12" t="s">
        <v>57</v>
      </c>
      <c r="B58" s="20" t="s">
        <v>204</v>
      </c>
      <c r="C58" s="12">
        <v>96</v>
      </c>
      <c r="D58" s="23">
        <v>97</v>
      </c>
      <c r="E58" s="23">
        <v>97</v>
      </c>
      <c r="F58" s="23">
        <v>89</v>
      </c>
      <c r="G58" s="23">
        <v>91</v>
      </c>
      <c r="H58" s="23">
        <v>100</v>
      </c>
      <c r="I58" s="23">
        <v>99</v>
      </c>
      <c r="J58" s="23">
        <v>99</v>
      </c>
      <c r="K58" s="23">
        <v>99</v>
      </c>
      <c r="L58" s="12">
        <f t="shared" si="0"/>
        <v>867</v>
      </c>
      <c r="M58" s="13">
        <f t="shared" si="1"/>
        <v>0.96333333333333337</v>
      </c>
      <c r="N58" s="12" t="s">
        <v>136</v>
      </c>
    </row>
    <row r="59" spans="1:14">
      <c r="A59" s="12" t="s">
        <v>58</v>
      </c>
      <c r="B59" s="21" t="s">
        <v>205</v>
      </c>
      <c r="C59" s="23">
        <v>82</v>
      </c>
      <c r="D59" s="23">
        <v>68</v>
      </c>
      <c r="E59" s="23">
        <v>66</v>
      </c>
      <c r="F59" s="23">
        <v>66</v>
      </c>
      <c r="G59" s="23">
        <v>82</v>
      </c>
      <c r="H59" s="23">
        <v>97</v>
      </c>
      <c r="I59" s="23">
        <v>97</v>
      </c>
      <c r="J59" s="23">
        <v>97</v>
      </c>
      <c r="K59" s="23">
        <v>97</v>
      </c>
      <c r="L59" s="12">
        <f t="shared" si="0"/>
        <v>752</v>
      </c>
      <c r="M59" s="13">
        <f t="shared" si="1"/>
        <v>0.83555555555555561</v>
      </c>
      <c r="N59" s="12" t="s">
        <v>136</v>
      </c>
    </row>
    <row r="60" spans="1:14">
      <c r="A60" s="12" t="s">
        <v>59</v>
      </c>
      <c r="B60" s="21" t="s">
        <v>206</v>
      </c>
      <c r="C60" s="23">
        <v>60</v>
      </c>
      <c r="D60" s="23">
        <v>69</v>
      </c>
      <c r="E60" s="23">
        <v>68</v>
      </c>
      <c r="F60" s="23">
        <v>50</v>
      </c>
      <c r="G60" s="23">
        <v>84</v>
      </c>
      <c r="H60" s="25">
        <v>99</v>
      </c>
      <c r="I60" s="25">
        <v>97</v>
      </c>
      <c r="J60" s="23">
        <v>97</v>
      </c>
      <c r="K60" s="23">
        <v>97</v>
      </c>
      <c r="L60" s="12">
        <f t="shared" si="0"/>
        <v>721</v>
      </c>
      <c r="M60" s="13">
        <f t="shared" si="1"/>
        <v>0.80111111111111111</v>
      </c>
      <c r="N60" s="12" t="s">
        <v>136</v>
      </c>
    </row>
    <row r="61" spans="1:14">
      <c r="A61" s="12" t="s">
        <v>60</v>
      </c>
      <c r="B61" s="21" t="s">
        <v>207</v>
      </c>
      <c r="C61" s="23">
        <v>51</v>
      </c>
      <c r="D61" s="23">
        <v>46</v>
      </c>
      <c r="E61" s="23">
        <v>64</v>
      </c>
      <c r="F61" s="23">
        <v>48</v>
      </c>
      <c r="G61" s="23">
        <v>81</v>
      </c>
      <c r="H61" s="25">
        <v>97</v>
      </c>
      <c r="I61" s="25">
        <v>98</v>
      </c>
      <c r="J61" s="23">
        <v>97</v>
      </c>
      <c r="K61" s="23">
        <v>96</v>
      </c>
      <c r="L61" s="12">
        <f t="shared" si="0"/>
        <v>678</v>
      </c>
      <c r="M61" s="13">
        <f t="shared" si="1"/>
        <v>0.7533333333333333</v>
      </c>
      <c r="N61" s="12" t="s">
        <v>136</v>
      </c>
    </row>
    <row r="62" spans="1:14">
      <c r="A62" s="12" t="s">
        <v>61</v>
      </c>
      <c r="B62" s="21" t="s">
        <v>208</v>
      </c>
      <c r="C62" s="23">
        <v>51</v>
      </c>
      <c r="D62" s="23">
        <v>67</v>
      </c>
      <c r="E62" s="23">
        <v>43</v>
      </c>
      <c r="F62" s="23">
        <v>35</v>
      </c>
      <c r="G62" s="23">
        <v>55</v>
      </c>
      <c r="H62" s="25">
        <v>98</v>
      </c>
      <c r="I62" s="25">
        <v>97</v>
      </c>
      <c r="J62" s="23">
        <v>98</v>
      </c>
      <c r="K62" s="23">
        <v>97</v>
      </c>
      <c r="L62" s="12">
        <f t="shared" si="0"/>
        <v>641</v>
      </c>
      <c r="M62" s="13">
        <f t="shared" si="1"/>
        <v>0.7122222222222222</v>
      </c>
      <c r="N62" s="18" t="s">
        <v>142</v>
      </c>
    </row>
    <row r="63" spans="1:14">
      <c r="A63" s="12" t="s">
        <v>62</v>
      </c>
      <c r="B63" s="21" t="s">
        <v>209</v>
      </c>
      <c r="C63" s="23">
        <v>90</v>
      </c>
      <c r="D63" s="23">
        <v>98</v>
      </c>
      <c r="E63" s="23">
        <v>100</v>
      </c>
      <c r="F63" s="23">
        <v>91</v>
      </c>
      <c r="G63" s="23">
        <v>98</v>
      </c>
      <c r="H63" s="25">
        <v>100</v>
      </c>
      <c r="I63" s="25">
        <v>100</v>
      </c>
      <c r="J63" s="23">
        <v>100</v>
      </c>
      <c r="K63" s="23">
        <v>100</v>
      </c>
      <c r="L63" s="12">
        <f t="shared" si="0"/>
        <v>877</v>
      </c>
      <c r="M63" s="13">
        <f t="shared" si="1"/>
        <v>0.97444444444444445</v>
      </c>
      <c r="N63" s="12" t="s">
        <v>136</v>
      </c>
    </row>
    <row r="64" spans="1:14">
      <c r="A64" s="12" t="s">
        <v>63</v>
      </c>
      <c r="B64" s="14" t="s">
        <v>210</v>
      </c>
      <c r="C64" s="23">
        <v>24</v>
      </c>
      <c r="D64" s="23">
        <v>54</v>
      </c>
      <c r="E64" s="23">
        <v>39</v>
      </c>
      <c r="F64" s="23">
        <v>28</v>
      </c>
      <c r="G64" s="23">
        <v>60</v>
      </c>
      <c r="H64" s="25">
        <v>97</v>
      </c>
      <c r="I64" s="25">
        <v>95</v>
      </c>
      <c r="J64" s="23">
        <v>96</v>
      </c>
      <c r="K64" s="23">
        <v>95</v>
      </c>
      <c r="L64" s="12">
        <f t="shared" si="0"/>
        <v>588</v>
      </c>
      <c r="M64" s="13">
        <f t="shared" si="1"/>
        <v>0.65333333333333332</v>
      </c>
      <c r="N64" s="18" t="s">
        <v>145</v>
      </c>
    </row>
    <row r="65" spans="1:14">
      <c r="A65" s="12" t="s">
        <v>64</v>
      </c>
      <c r="B65" s="14" t="s">
        <v>211</v>
      </c>
      <c r="C65" s="23">
        <v>65</v>
      </c>
      <c r="D65" s="23">
        <v>35</v>
      </c>
      <c r="E65" s="23">
        <v>45</v>
      </c>
      <c r="F65" s="23">
        <v>45</v>
      </c>
      <c r="G65" s="23">
        <v>41</v>
      </c>
      <c r="H65" s="25">
        <v>97</v>
      </c>
      <c r="I65" s="25">
        <v>98</v>
      </c>
      <c r="J65" s="23">
        <v>98</v>
      </c>
      <c r="K65" s="23">
        <v>98</v>
      </c>
      <c r="L65" s="12">
        <f t="shared" si="0"/>
        <v>622</v>
      </c>
      <c r="M65" s="13">
        <f t="shared" si="1"/>
        <v>0.69111111111111112</v>
      </c>
      <c r="N65" s="18" t="s">
        <v>140</v>
      </c>
    </row>
    <row r="66" spans="1:14">
      <c r="A66" s="12" t="s">
        <v>65</v>
      </c>
      <c r="B66" s="14" t="s">
        <v>212</v>
      </c>
      <c r="C66" s="23">
        <v>60</v>
      </c>
      <c r="D66" s="23">
        <v>54</v>
      </c>
      <c r="E66" s="23">
        <v>72</v>
      </c>
      <c r="F66" s="23">
        <v>58</v>
      </c>
      <c r="G66" s="23">
        <v>62</v>
      </c>
      <c r="H66" s="25">
        <v>100</v>
      </c>
      <c r="I66" s="25">
        <v>98</v>
      </c>
      <c r="J66" s="23">
        <v>99</v>
      </c>
      <c r="K66" s="23">
        <v>100</v>
      </c>
      <c r="L66" s="12">
        <f t="shared" si="0"/>
        <v>703</v>
      </c>
      <c r="M66" s="13">
        <f t="shared" si="1"/>
        <v>0.78111111111111109</v>
      </c>
      <c r="N66" s="12" t="s">
        <v>136</v>
      </c>
    </row>
    <row r="67" spans="1:14">
      <c r="A67" s="12" t="s">
        <v>66</v>
      </c>
      <c r="B67" s="14" t="s">
        <v>213</v>
      </c>
      <c r="C67" s="23">
        <v>100</v>
      </c>
      <c r="D67" s="23">
        <v>89</v>
      </c>
      <c r="E67" s="23">
        <v>95</v>
      </c>
      <c r="F67" s="23">
        <v>98</v>
      </c>
      <c r="G67" s="23">
        <v>92</v>
      </c>
      <c r="H67" s="25">
        <v>100</v>
      </c>
      <c r="I67" s="25">
        <v>100</v>
      </c>
      <c r="J67" s="23">
        <v>100</v>
      </c>
      <c r="K67" s="23">
        <v>100</v>
      </c>
      <c r="L67" s="12">
        <f t="shared" si="0"/>
        <v>874</v>
      </c>
      <c r="M67" s="13">
        <f t="shared" si="1"/>
        <v>0.97111111111111115</v>
      </c>
      <c r="N67" s="12" t="s">
        <v>136</v>
      </c>
    </row>
    <row r="68" spans="1:14" ht="15.75" thickBot="1">
      <c r="A68" s="15" t="s">
        <v>67</v>
      </c>
      <c r="B68" s="16" t="s">
        <v>214</v>
      </c>
      <c r="C68" s="15" t="s">
        <v>69</v>
      </c>
      <c r="D68" s="15" t="s">
        <v>69</v>
      </c>
      <c r="E68" s="15" t="s">
        <v>69</v>
      </c>
      <c r="F68" s="15" t="s">
        <v>69</v>
      </c>
      <c r="G68" s="15" t="s">
        <v>69</v>
      </c>
      <c r="H68" s="15" t="s">
        <v>69</v>
      </c>
      <c r="I68" s="15" t="s">
        <v>69</v>
      </c>
      <c r="J68" s="15" t="s">
        <v>69</v>
      </c>
      <c r="K68" s="15" t="s">
        <v>69</v>
      </c>
      <c r="L68" s="15" t="s">
        <v>69</v>
      </c>
      <c r="M68" s="15" t="s">
        <v>69</v>
      </c>
      <c r="N68" s="15" t="s">
        <v>69</v>
      </c>
    </row>
    <row r="69" spans="1:14" ht="15.75" thickBot="1">
      <c r="A69" s="55" t="s">
        <v>1051</v>
      </c>
      <c r="B69" s="20" t="s">
        <v>215</v>
      </c>
      <c r="C69" s="12">
        <v>94</v>
      </c>
      <c r="D69" s="12">
        <v>57</v>
      </c>
      <c r="E69" s="12">
        <v>70</v>
      </c>
      <c r="F69" s="12">
        <v>52</v>
      </c>
      <c r="G69" s="12">
        <v>74</v>
      </c>
      <c r="H69" s="12">
        <v>96</v>
      </c>
      <c r="I69" s="12">
        <v>94</v>
      </c>
      <c r="J69" s="12">
        <v>96</v>
      </c>
      <c r="K69" s="12">
        <v>96</v>
      </c>
      <c r="L69" s="12">
        <v>729</v>
      </c>
      <c r="M69" s="13">
        <f t="shared" ref="M69:M132" si="2">L69/900</f>
        <v>0.81</v>
      </c>
      <c r="N69" s="12" t="s">
        <v>70</v>
      </c>
    </row>
    <row r="70" spans="1:14">
      <c r="A70" s="12" t="s">
        <v>71</v>
      </c>
      <c r="B70" s="14" t="s">
        <v>216</v>
      </c>
      <c r="C70" s="12">
        <v>64</v>
      </c>
      <c r="D70" s="12">
        <v>62</v>
      </c>
      <c r="E70" s="12">
        <v>50</v>
      </c>
      <c r="F70" s="12">
        <v>43</v>
      </c>
      <c r="G70" s="12">
        <v>57</v>
      </c>
      <c r="H70" s="12">
        <v>98</v>
      </c>
      <c r="I70" s="12">
        <v>97</v>
      </c>
      <c r="J70" s="12">
        <v>96</v>
      </c>
      <c r="K70" s="12">
        <v>97</v>
      </c>
      <c r="L70" s="12">
        <v>664</v>
      </c>
      <c r="M70" s="13">
        <f t="shared" si="2"/>
        <v>0.73777777777777775</v>
      </c>
      <c r="N70" s="12" t="s">
        <v>70</v>
      </c>
    </row>
    <row r="71" spans="1:14">
      <c r="A71" s="12" t="s">
        <v>72</v>
      </c>
      <c r="B71" s="14" t="s">
        <v>217</v>
      </c>
      <c r="C71" s="12">
        <v>100</v>
      </c>
      <c r="D71" s="12">
        <v>97</v>
      </c>
      <c r="E71" s="12">
        <v>94</v>
      </c>
      <c r="F71" s="12">
        <v>88</v>
      </c>
      <c r="G71" s="12">
        <v>99</v>
      </c>
      <c r="H71" s="12">
        <v>100</v>
      </c>
      <c r="I71" s="12">
        <v>100</v>
      </c>
      <c r="J71" s="12">
        <v>100</v>
      </c>
      <c r="K71" s="12">
        <v>100</v>
      </c>
      <c r="L71" s="12">
        <v>878</v>
      </c>
      <c r="M71" s="13">
        <f t="shared" si="2"/>
        <v>0.97555555555555551</v>
      </c>
      <c r="N71" s="12" t="s">
        <v>70</v>
      </c>
    </row>
    <row r="72" spans="1:14">
      <c r="A72" s="12" t="s">
        <v>73</v>
      </c>
      <c r="B72" s="14" t="s">
        <v>218</v>
      </c>
      <c r="C72" s="12">
        <v>98</v>
      </c>
      <c r="D72" s="12">
        <v>92</v>
      </c>
      <c r="E72" s="12">
        <v>98</v>
      </c>
      <c r="F72" s="12">
        <v>90</v>
      </c>
      <c r="G72" s="12">
        <v>99</v>
      </c>
      <c r="H72" s="12">
        <v>100</v>
      </c>
      <c r="I72" s="12">
        <v>100</v>
      </c>
      <c r="J72" s="12">
        <v>100</v>
      </c>
      <c r="K72" s="12">
        <v>100</v>
      </c>
      <c r="L72" s="12">
        <v>877</v>
      </c>
      <c r="M72" s="13">
        <f t="shared" si="2"/>
        <v>0.97444444444444445</v>
      </c>
      <c r="N72" s="12" t="s">
        <v>70</v>
      </c>
    </row>
    <row r="73" spans="1:14">
      <c r="A73" s="12" t="s">
        <v>74</v>
      </c>
      <c r="B73" s="14" t="s">
        <v>219</v>
      </c>
      <c r="C73" s="12">
        <v>83</v>
      </c>
      <c r="D73" s="12">
        <v>57</v>
      </c>
      <c r="E73" s="12">
        <v>70</v>
      </c>
      <c r="F73" s="12">
        <v>45</v>
      </c>
      <c r="G73" s="12">
        <v>64</v>
      </c>
      <c r="H73" s="12">
        <v>100</v>
      </c>
      <c r="I73" s="12">
        <v>98</v>
      </c>
      <c r="J73" s="12">
        <v>97</v>
      </c>
      <c r="K73" s="12">
        <v>98</v>
      </c>
      <c r="L73" s="12">
        <v>712</v>
      </c>
      <c r="M73" s="13">
        <f t="shared" si="2"/>
        <v>0.7911111111111111</v>
      </c>
      <c r="N73" s="12" t="s">
        <v>70</v>
      </c>
    </row>
    <row r="74" spans="1:14">
      <c r="A74" s="12" t="s">
        <v>75</v>
      </c>
      <c r="B74" s="14" t="s">
        <v>220</v>
      </c>
      <c r="C74" s="12">
        <v>96</v>
      </c>
      <c r="D74" s="12">
        <v>82</v>
      </c>
      <c r="E74" s="12">
        <v>98</v>
      </c>
      <c r="F74" s="12">
        <v>93</v>
      </c>
      <c r="G74" s="12">
        <v>87</v>
      </c>
      <c r="H74" s="12">
        <v>100</v>
      </c>
      <c r="I74" s="12">
        <v>100</v>
      </c>
      <c r="J74" s="12">
        <v>99</v>
      </c>
      <c r="K74" s="12">
        <v>99</v>
      </c>
      <c r="L74" s="12">
        <v>854</v>
      </c>
      <c r="M74" s="13">
        <f t="shared" si="2"/>
        <v>0.94888888888888889</v>
      </c>
      <c r="N74" s="12" t="s">
        <v>70</v>
      </c>
    </row>
    <row r="75" spans="1:14">
      <c r="A75" s="12" t="s">
        <v>76</v>
      </c>
      <c r="B75" s="14" t="s">
        <v>221</v>
      </c>
      <c r="C75" s="12">
        <v>100</v>
      </c>
      <c r="D75" s="12">
        <v>96</v>
      </c>
      <c r="E75" s="12">
        <v>83</v>
      </c>
      <c r="F75" s="12">
        <v>94</v>
      </c>
      <c r="G75" s="12">
        <v>86</v>
      </c>
      <c r="H75" s="12">
        <v>100</v>
      </c>
      <c r="I75" s="12">
        <v>100</v>
      </c>
      <c r="J75" s="12">
        <v>100</v>
      </c>
      <c r="K75" s="12">
        <v>100</v>
      </c>
      <c r="L75" s="12">
        <v>859</v>
      </c>
      <c r="M75" s="13">
        <f t="shared" si="2"/>
        <v>0.95444444444444443</v>
      </c>
      <c r="N75" s="12" t="s">
        <v>70</v>
      </c>
    </row>
    <row r="76" spans="1:14">
      <c r="A76" s="12" t="s">
        <v>77</v>
      </c>
      <c r="B76" s="14" t="s">
        <v>222</v>
      </c>
      <c r="C76" s="12">
        <v>66</v>
      </c>
      <c r="D76" s="12">
        <v>55</v>
      </c>
      <c r="E76" s="12">
        <v>72</v>
      </c>
      <c r="F76" s="12">
        <v>71</v>
      </c>
      <c r="G76" s="12">
        <v>71</v>
      </c>
      <c r="H76" s="12">
        <v>96</v>
      </c>
      <c r="I76" s="12">
        <v>95</v>
      </c>
      <c r="J76" s="12">
        <v>95</v>
      </c>
      <c r="K76" s="12">
        <v>95</v>
      </c>
      <c r="L76" s="12">
        <v>716</v>
      </c>
      <c r="M76" s="13">
        <f t="shared" si="2"/>
        <v>0.79555555555555557</v>
      </c>
      <c r="N76" s="12" t="s">
        <v>70</v>
      </c>
    </row>
    <row r="77" spans="1:14">
      <c r="A77" s="12" t="s">
        <v>78</v>
      </c>
      <c r="B77" s="14" t="s">
        <v>223</v>
      </c>
      <c r="C77" s="12">
        <v>82</v>
      </c>
      <c r="D77" s="12">
        <v>89</v>
      </c>
      <c r="E77" s="12">
        <v>78</v>
      </c>
      <c r="F77" s="12">
        <v>77</v>
      </c>
      <c r="G77" s="12">
        <v>79</v>
      </c>
      <c r="H77" s="12">
        <v>100</v>
      </c>
      <c r="I77" s="12">
        <v>100</v>
      </c>
      <c r="J77" s="12">
        <v>100</v>
      </c>
      <c r="K77" s="12">
        <v>100</v>
      </c>
      <c r="L77" s="12">
        <v>805</v>
      </c>
      <c r="M77" s="13">
        <f t="shared" si="2"/>
        <v>0.89444444444444449</v>
      </c>
      <c r="N77" s="12" t="s">
        <v>70</v>
      </c>
    </row>
    <row r="78" spans="1:14">
      <c r="A78" s="12" t="s">
        <v>79</v>
      </c>
      <c r="B78" s="14" t="s">
        <v>224</v>
      </c>
      <c r="C78" s="12">
        <v>96</v>
      </c>
      <c r="D78" s="12">
        <v>77</v>
      </c>
      <c r="E78" s="12">
        <v>84</v>
      </c>
      <c r="F78" s="12">
        <v>85</v>
      </c>
      <c r="G78" s="12">
        <v>76</v>
      </c>
      <c r="H78" s="12">
        <v>100</v>
      </c>
      <c r="I78" s="12">
        <v>100</v>
      </c>
      <c r="J78" s="12">
        <v>100</v>
      </c>
      <c r="K78" s="12">
        <v>100</v>
      </c>
      <c r="L78" s="12">
        <v>818</v>
      </c>
      <c r="M78" s="13">
        <f t="shared" si="2"/>
        <v>0.90888888888888886</v>
      </c>
      <c r="N78" s="12" t="s">
        <v>70</v>
      </c>
    </row>
    <row r="79" spans="1:14">
      <c r="A79" s="12" t="s">
        <v>80</v>
      </c>
      <c r="B79" s="14" t="s">
        <v>225</v>
      </c>
      <c r="C79" s="12">
        <v>52</v>
      </c>
      <c r="D79" s="12">
        <v>42</v>
      </c>
      <c r="E79" s="12">
        <v>57</v>
      </c>
      <c r="F79" s="12">
        <v>43</v>
      </c>
      <c r="G79" s="12">
        <v>64</v>
      </c>
      <c r="H79" s="12">
        <v>97</v>
      </c>
      <c r="I79" s="12">
        <v>95</v>
      </c>
      <c r="J79" s="12">
        <v>97</v>
      </c>
      <c r="K79" s="12">
        <v>95</v>
      </c>
      <c r="L79" s="12">
        <v>642</v>
      </c>
      <c r="M79" s="13">
        <f t="shared" si="2"/>
        <v>0.71333333333333337</v>
      </c>
      <c r="N79" s="12" t="s">
        <v>70</v>
      </c>
    </row>
    <row r="80" spans="1:14" ht="15.75" thickBot="1">
      <c r="A80" s="12" t="s">
        <v>81</v>
      </c>
      <c r="B80" s="14" t="s">
        <v>226</v>
      </c>
      <c r="C80" s="12">
        <v>19</v>
      </c>
      <c r="D80" s="12">
        <v>59</v>
      </c>
      <c r="E80" s="12">
        <v>25</v>
      </c>
      <c r="F80" s="12">
        <v>41</v>
      </c>
      <c r="G80" s="12">
        <v>60</v>
      </c>
      <c r="H80" s="12">
        <v>100</v>
      </c>
      <c r="I80" s="12">
        <v>98</v>
      </c>
      <c r="J80" s="12">
        <v>97</v>
      </c>
      <c r="K80" s="12">
        <v>98</v>
      </c>
      <c r="L80" s="12">
        <v>597</v>
      </c>
      <c r="M80" s="13">
        <f t="shared" si="2"/>
        <v>0.66333333333333333</v>
      </c>
      <c r="N80" s="18" t="s">
        <v>146</v>
      </c>
    </row>
    <row r="81" spans="1:14" ht="28.5" customHeight="1" thickBot="1">
      <c r="A81" s="12" t="s">
        <v>82</v>
      </c>
      <c r="B81" s="20" t="s">
        <v>227</v>
      </c>
      <c r="C81" s="12">
        <v>97</v>
      </c>
      <c r="D81" s="12">
        <v>92</v>
      </c>
      <c r="E81" s="12">
        <v>97</v>
      </c>
      <c r="F81" s="12">
        <v>95</v>
      </c>
      <c r="G81" s="12">
        <v>100</v>
      </c>
      <c r="H81" s="12">
        <v>100</v>
      </c>
      <c r="I81" s="12">
        <v>100</v>
      </c>
      <c r="J81" s="12">
        <v>100</v>
      </c>
      <c r="K81" s="12">
        <v>100</v>
      </c>
      <c r="L81" s="12">
        <v>881</v>
      </c>
      <c r="M81" s="13">
        <f t="shared" si="2"/>
        <v>0.97888888888888892</v>
      </c>
      <c r="N81" s="12" t="s">
        <v>70</v>
      </c>
    </row>
    <row r="82" spans="1:14" ht="35.25" customHeight="1" thickBot="1">
      <c r="A82" s="12" t="s">
        <v>83</v>
      </c>
      <c r="B82" s="20" t="s">
        <v>228</v>
      </c>
      <c r="C82" s="12">
        <v>65</v>
      </c>
      <c r="D82" s="12">
        <v>44</v>
      </c>
      <c r="E82" s="12">
        <v>49</v>
      </c>
      <c r="F82" s="12">
        <v>44</v>
      </c>
      <c r="G82" s="12">
        <v>82</v>
      </c>
      <c r="H82" s="12">
        <v>96</v>
      </c>
      <c r="I82" s="12">
        <v>94</v>
      </c>
      <c r="J82" s="12">
        <v>96</v>
      </c>
      <c r="K82" s="12">
        <v>96</v>
      </c>
      <c r="L82" s="12">
        <v>666</v>
      </c>
      <c r="M82" s="13">
        <f t="shared" si="2"/>
        <v>0.74</v>
      </c>
      <c r="N82" s="12" t="s">
        <v>70</v>
      </c>
    </row>
    <row r="83" spans="1:14" ht="15.75" thickBot="1">
      <c r="A83" s="12" t="s">
        <v>84</v>
      </c>
      <c r="B83" s="20" t="s">
        <v>229</v>
      </c>
      <c r="C83" s="12">
        <v>95</v>
      </c>
      <c r="D83" s="12">
        <v>69</v>
      </c>
      <c r="E83" s="12">
        <v>67</v>
      </c>
      <c r="F83" s="12">
        <v>67</v>
      </c>
      <c r="G83" s="12">
        <v>86</v>
      </c>
      <c r="H83" s="12">
        <v>98</v>
      </c>
      <c r="I83" s="12">
        <v>98</v>
      </c>
      <c r="J83" s="12">
        <v>98</v>
      </c>
      <c r="K83" s="12">
        <v>98</v>
      </c>
      <c r="L83" s="12">
        <v>776</v>
      </c>
      <c r="M83" s="13">
        <f t="shared" si="2"/>
        <v>0.86222222222222222</v>
      </c>
      <c r="N83" s="12" t="s">
        <v>70</v>
      </c>
    </row>
    <row r="84" spans="1:14" ht="15.75" thickBot="1">
      <c r="A84" s="12" t="s">
        <v>85</v>
      </c>
      <c r="B84" s="14" t="s">
        <v>230</v>
      </c>
      <c r="C84" s="12">
        <v>93</v>
      </c>
      <c r="D84" s="12">
        <v>72</v>
      </c>
      <c r="E84" s="12">
        <v>74</v>
      </c>
      <c r="F84" s="12">
        <v>69</v>
      </c>
      <c r="G84" s="12">
        <v>76</v>
      </c>
      <c r="H84" s="12">
        <v>99</v>
      </c>
      <c r="I84" s="12">
        <v>98</v>
      </c>
      <c r="J84" s="12">
        <v>98</v>
      </c>
      <c r="K84" s="12">
        <v>98</v>
      </c>
      <c r="L84" s="12">
        <v>777</v>
      </c>
      <c r="M84" s="13">
        <f t="shared" si="2"/>
        <v>0.86333333333333329</v>
      </c>
      <c r="N84" s="12" t="s">
        <v>70</v>
      </c>
    </row>
    <row r="85" spans="1:14" ht="30" customHeight="1" thickBot="1">
      <c r="A85" s="12" t="s">
        <v>86</v>
      </c>
      <c r="B85" s="20" t="s">
        <v>231</v>
      </c>
      <c r="C85" s="12">
        <v>18</v>
      </c>
      <c r="D85" s="12">
        <v>30</v>
      </c>
      <c r="E85" s="12">
        <v>43</v>
      </c>
      <c r="F85" s="12">
        <v>22</v>
      </c>
      <c r="G85" s="12">
        <v>68</v>
      </c>
      <c r="H85" s="12">
        <v>96</v>
      </c>
      <c r="I85" s="12">
        <v>95</v>
      </c>
      <c r="J85" s="12">
        <v>95</v>
      </c>
      <c r="K85" s="12">
        <v>96</v>
      </c>
      <c r="L85" s="12">
        <v>563</v>
      </c>
      <c r="M85" s="13">
        <f t="shared" si="2"/>
        <v>0.62555555555555553</v>
      </c>
      <c r="N85" s="18" t="s">
        <v>144</v>
      </c>
    </row>
    <row r="86" spans="1:14">
      <c r="A86" s="12" t="s">
        <v>87</v>
      </c>
      <c r="B86" s="14" t="s">
        <v>232</v>
      </c>
      <c r="C86" s="12">
        <v>45</v>
      </c>
      <c r="D86" s="12">
        <v>42</v>
      </c>
      <c r="E86" s="12">
        <v>38</v>
      </c>
      <c r="F86" s="12">
        <v>37</v>
      </c>
      <c r="G86" s="12">
        <v>51</v>
      </c>
      <c r="H86" s="12">
        <v>95</v>
      </c>
      <c r="I86" s="12">
        <v>94</v>
      </c>
      <c r="J86" s="12">
        <v>94</v>
      </c>
      <c r="K86" s="12">
        <v>94</v>
      </c>
      <c r="L86" s="12">
        <v>590</v>
      </c>
      <c r="M86" s="13">
        <f t="shared" si="2"/>
        <v>0.65555555555555556</v>
      </c>
      <c r="N86" s="12" t="s">
        <v>70</v>
      </c>
    </row>
    <row r="87" spans="1:14">
      <c r="A87" s="12" t="s">
        <v>88</v>
      </c>
      <c r="B87" s="14" t="s">
        <v>233</v>
      </c>
      <c r="C87" s="12">
        <v>61</v>
      </c>
      <c r="D87" s="12">
        <v>68</v>
      </c>
      <c r="E87" s="12">
        <v>83</v>
      </c>
      <c r="F87" s="12">
        <v>83</v>
      </c>
      <c r="G87" s="12">
        <v>85</v>
      </c>
      <c r="H87" s="12">
        <v>98</v>
      </c>
      <c r="I87" s="12">
        <v>94</v>
      </c>
      <c r="J87" s="12">
        <v>95</v>
      </c>
      <c r="K87" s="12">
        <v>97</v>
      </c>
      <c r="L87" s="12">
        <v>764</v>
      </c>
      <c r="M87" s="13">
        <f t="shared" si="2"/>
        <v>0.84888888888888892</v>
      </c>
      <c r="N87" s="12" t="s">
        <v>70</v>
      </c>
    </row>
    <row r="88" spans="1:14">
      <c r="A88" s="12" t="s">
        <v>89</v>
      </c>
      <c r="B88" s="14" t="s">
        <v>234</v>
      </c>
      <c r="C88" s="12">
        <v>84</v>
      </c>
      <c r="D88" s="12">
        <v>72</v>
      </c>
      <c r="E88" s="12">
        <v>75</v>
      </c>
      <c r="F88" s="12">
        <v>80</v>
      </c>
      <c r="G88" s="12">
        <v>70</v>
      </c>
      <c r="H88" s="12">
        <v>100</v>
      </c>
      <c r="I88" s="12">
        <v>100</v>
      </c>
      <c r="J88" s="12">
        <v>100</v>
      </c>
      <c r="K88" s="12">
        <v>100</v>
      </c>
      <c r="L88" s="12">
        <v>781</v>
      </c>
      <c r="M88" s="13">
        <f t="shared" si="2"/>
        <v>0.86777777777777776</v>
      </c>
      <c r="N88" s="12" t="s">
        <v>70</v>
      </c>
    </row>
    <row r="89" spans="1:14">
      <c r="A89" s="12" t="s">
        <v>90</v>
      </c>
      <c r="B89" s="14" t="s">
        <v>235</v>
      </c>
      <c r="C89" s="12">
        <v>24</v>
      </c>
      <c r="D89" s="12">
        <v>48</v>
      </c>
      <c r="E89" s="12">
        <v>63</v>
      </c>
      <c r="F89" s="12">
        <v>48</v>
      </c>
      <c r="G89" s="12">
        <v>50</v>
      </c>
      <c r="H89" s="12">
        <v>98</v>
      </c>
      <c r="I89" s="12">
        <v>97</v>
      </c>
      <c r="J89" s="12">
        <v>97</v>
      </c>
      <c r="K89" s="12">
        <v>97</v>
      </c>
      <c r="L89" s="12">
        <v>622</v>
      </c>
      <c r="M89" s="13">
        <f t="shared" si="2"/>
        <v>0.69111111111111112</v>
      </c>
      <c r="N89" s="18" t="s">
        <v>143</v>
      </c>
    </row>
    <row r="90" spans="1:14" ht="15.75" thickBot="1">
      <c r="A90" s="12" t="s">
        <v>91</v>
      </c>
      <c r="B90" s="14" t="s">
        <v>236</v>
      </c>
      <c r="C90" s="12">
        <v>90</v>
      </c>
      <c r="D90" s="12">
        <v>67</v>
      </c>
      <c r="E90" s="12">
        <v>88</v>
      </c>
      <c r="F90" s="12">
        <v>68</v>
      </c>
      <c r="G90" s="12">
        <v>95</v>
      </c>
      <c r="H90" s="12">
        <v>100</v>
      </c>
      <c r="I90" s="12">
        <v>99</v>
      </c>
      <c r="J90" s="12">
        <v>98</v>
      </c>
      <c r="K90" s="12">
        <v>99</v>
      </c>
      <c r="L90" s="12">
        <v>804</v>
      </c>
      <c r="M90" s="13">
        <f t="shared" si="2"/>
        <v>0.89333333333333331</v>
      </c>
      <c r="N90" s="12" t="s">
        <v>70</v>
      </c>
    </row>
    <row r="91" spans="1:14" ht="15.75" thickBot="1">
      <c r="A91" s="12" t="s">
        <v>92</v>
      </c>
      <c r="B91" s="20" t="s">
        <v>237</v>
      </c>
      <c r="C91" s="12">
        <v>63</v>
      </c>
      <c r="D91" s="12">
        <v>35</v>
      </c>
      <c r="E91" s="12">
        <v>39</v>
      </c>
      <c r="F91" s="12">
        <v>24</v>
      </c>
      <c r="G91" s="12">
        <v>68</v>
      </c>
      <c r="H91" s="12">
        <v>96</v>
      </c>
      <c r="I91" s="12">
        <v>97</v>
      </c>
      <c r="J91" s="12">
        <v>95</v>
      </c>
      <c r="K91" s="12">
        <v>98</v>
      </c>
      <c r="L91" s="12">
        <v>615</v>
      </c>
      <c r="M91" s="13">
        <f t="shared" si="2"/>
        <v>0.68333333333333335</v>
      </c>
      <c r="N91" s="18" t="s">
        <v>142</v>
      </c>
    </row>
    <row r="92" spans="1:14" ht="15.75" thickBot="1">
      <c r="A92" s="12" t="s">
        <v>93</v>
      </c>
      <c r="B92" s="20" t="s">
        <v>238</v>
      </c>
      <c r="C92" s="12">
        <v>47</v>
      </c>
      <c r="D92" s="12">
        <v>65</v>
      </c>
      <c r="E92" s="12">
        <v>62</v>
      </c>
      <c r="F92" s="12">
        <v>71</v>
      </c>
      <c r="G92" s="12">
        <v>77</v>
      </c>
      <c r="H92" s="12">
        <v>100</v>
      </c>
      <c r="I92" s="12">
        <v>98</v>
      </c>
      <c r="J92" s="12">
        <v>98</v>
      </c>
      <c r="K92" s="12">
        <v>98</v>
      </c>
      <c r="L92" s="12">
        <v>716</v>
      </c>
      <c r="M92" s="13">
        <f t="shared" si="2"/>
        <v>0.79555555555555557</v>
      </c>
      <c r="N92" s="12" t="s">
        <v>70</v>
      </c>
    </row>
    <row r="93" spans="1:14" ht="22.5" customHeight="1" thickBot="1">
      <c r="A93" s="12" t="s">
        <v>94</v>
      </c>
      <c r="B93" s="20" t="s">
        <v>239</v>
      </c>
      <c r="C93" s="12">
        <v>85</v>
      </c>
      <c r="D93" s="12">
        <v>69</v>
      </c>
      <c r="E93" s="12">
        <v>75</v>
      </c>
      <c r="F93" s="12">
        <v>87</v>
      </c>
      <c r="G93" s="12">
        <v>97</v>
      </c>
      <c r="H93" s="12">
        <v>100</v>
      </c>
      <c r="I93" s="12">
        <v>100</v>
      </c>
      <c r="J93" s="12">
        <v>100</v>
      </c>
      <c r="K93" s="12">
        <v>100</v>
      </c>
      <c r="L93" s="12">
        <v>813</v>
      </c>
      <c r="M93" s="13">
        <f t="shared" si="2"/>
        <v>0.90333333333333332</v>
      </c>
      <c r="N93" s="12" t="s">
        <v>70</v>
      </c>
    </row>
    <row r="94" spans="1:14">
      <c r="A94" s="12" t="s">
        <v>95</v>
      </c>
      <c r="B94" s="14" t="s">
        <v>240</v>
      </c>
      <c r="C94" s="12">
        <v>100</v>
      </c>
      <c r="D94" s="12">
        <v>92</v>
      </c>
      <c r="E94" s="12">
        <v>93</v>
      </c>
      <c r="F94" s="12">
        <v>96</v>
      </c>
      <c r="G94" s="12">
        <v>96</v>
      </c>
      <c r="H94" s="12">
        <v>100</v>
      </c>
      <c r="I94" s="12">
        <v>100</v>
      </c>
      <c r="J94" s="12">
        <v>100</v>
      </c>
      <c r="K94" s="12">
        <v>100</v>
      </c>
      <c r="L94" s="12">
        <v>877</v>
      </c>
      <c r="M94" s="13">
        <f t="shared" si="2"/>
        <v>0.97444444444444445</v>
      </c>
      <c r="N94" s="12" t="s">
        <v>70</v>
      </c>
    </row>
    <row r="95" spans="1:14">
      <c r="A95" s="12" t="s">
        <v>96</v>
      </c>
      <c r="B95" s="14" t="s">
        <v>241</v>
      </c>
      <c r="C95" s="12">
        <v>100</v>
      </c>
      <c r="D95" s="12">
        <v>81</v>
      </c>
      <c r="E95" s="12">
        <v>88</v>
      </c>
      <c r="F95" s="12">
        <v>97</v>
      </c>
      <c r="G95" s="12">
        <v>96</v>
      </c>
      <c r="H95" s="12">
        <v>100</v>
      </c>
      <c r="I95" s="12">
        <v>100</v>
      </c>
      <c r="J95" s="12">
        <v>100</v>
      </c>
      <c r="K95" s="12">
        <v>100</v>
      </c>
      <c r="L95" s="12">
        <v>862</v>
      </c>
      <c r="M95" s="13">
        <f t="shared" si="2"/>
        <v>0.95777777777777773</v>
      </c>
      <c r="N95" s="12" t="s">
        <v>70</v>
      </c>
    </row>
    <row r="96" spans="1:14">
      <c r="A96" s="12" t="s">
        <v>97</v>
      </c>
      <c r="B96" s="14" t="s">
        <v>242</v>
      </c>
      <c r="C96" s="12">
        <v>100</v>
      </c>
      <c r="D96" s="12">
        <v>83</v>
      </c>
      <c r="E96" s="12">
        <v>93</v>
      </c>
      <c r="F96" s="12">
        <v>96</v>
      </c>
      <c r="G96" s="12">
        <v>97</v>
      </c>
      <c r="H96" s="12">
        <v>100</v>
      </c>
      <c r="I96" s="12">
        <v>100</v>
      </c>
      <c r="J96" s="12">
        <v>100</v>
      </c>
      <c r="K96" s="12">
        <v>100</v>
      </c>
      <c r="L96" s="12">
        <v>869</v>
      </c>
      <c r="M96" s="13">
        <f t="shared" si="2"/>
        <v>0.9655555555555555</v>
      </c>
      <c r="N96" s="12" t="s">
        <v>70</v>
      </c>
    </row>
    <row r="97" spans="1:14" ht="15.75" thickBot="1">
      <c r="A97" s="12" t="s">
        <v>98</v>
      </c>
      <c r="B97" s="14" t="s">
        <v>243</v>
      </c>
      <c r="C97" s="12">
        <v>98</v>
      </c>
      <c r="D97" s="12">
        <v>92</v>
      </c>
      <c r="E97" s="12">
        <v>81</v>
      </c>
      <c r="F97" s="12">
        <v>73</v>
      </c>
      <c r="G97" s="12">
        <v>89</v>
      </c>
      <c r="H97" s="12">
        <v>100</v>
      </c>
      <c r="I97" s="12">
        <v>99</v>
      </c>
      <c r="J97" s="12">
        <v>99</v>
      </c>
      <c r="K97" s="12">
        <v>99</v>
      </c>
      <c r="L97" s="12">
        <v>830</v>
      </c>
      <c r="M97" s="13">
        <f t="shared" si="2"/>
        <v>0.92222222222222228</v>
      </c>
      <c r="N97" s="12" t="s">
        <v>99</v>
      </c>
    </row>
    <row r="98" spans="1:14" ht="22.5" customHeight="1" thickBot="1">
      <c r="A98" s="12" t="s">
        <v>100</v>
      </c>
      <c r="B98" s="20" t="s">
        <v>244</v>
      </c>
      <c r="C98" s="12">
        <v>85</v>
      </c>
      <c r="D98" s="12">
        <v>86</v>
      </c>
      <c r="E98" s="12">
        <v>69</v>
      </c>
      <c r="F98" s="12">
        <v>48</v>
      </c>
      <c r="G98" s="12">
        <v>83</v>
      </c>
      <c r="H98" s="12">
        <v>98</v>
      </c>
      <c r="I98" s="12">
        <v>96</v>
      </c>
      <c r="J98" s="12">
        <v>95</v>
      </c>
      <c r="K98" s="12">
        <v>97</v>
      </c>
      <c r="L98" s="12">
        <v>757</v>
      </c>
      <c r="M98" s="13">
        <f t="shared" si="2"/>
        <v>0.84111111111111114</v>
      </c>
      <c r="N98" s="12" t="s">
        <v>70</v>
      </c>
    </row>
    <row r="99" spans="1:14">
      <c r="A99" s="12" t="s">
        <v>101</v>
      </c>
      <c r="B99" s="14" t="s">
        <v>245</v>
      </c>
      <c r="C99" s="12">
        <v>54</v>
      </c>
      <c r="D99" s="12">
        <v>45</v>
      </c>
      <c r="E99" s="12">
        <v>51</v>
      </c>
      <c r="F99" s="12">
        <v>47</v>
      </c>
      <c r="G99" s="12">
        <v>71</v>
      </c>
      <c r="H99" s="12">
        <v>99</v>
      </c>
      <c r="I99" s="12">
        <v>97</v>
      </c>
      <c r="J99" s="12">
        <v>97</v>
      </c>
      <c r="K99" s="12">
        <v>97</v>
      </c>
      <c r="L99" s="12">
        <v>658</v>
      </c>
      <c r="M99" s="13">
        <f t="shared" si="2"/>
        <v>0.73111111111111116</v>
      </c>
      <c r="N99" s="12" t="s">
        <v>70</v>
      </c>
    </row>
    <row r="100" spans="1:14">
      <c r="A100" s="12" t="s">
        <v>102</v>
      </c>
      <c r="B100" s="14" t="s">
        <v>246</v>
      </c>
      <c r="C100" s="12">
        <v>90</v>
      </c>
      <c r="D100" s="12">
        <v>80</v>
      </c>
      <c r="E100" s="12">
        <v>70</v>
      </c>
      <c r="F100" s="12">
        <v>75</v>
      </c>
      <c r="G100" s="12">
        <v>74</v>
      </c>
      <c r="H100" s="12">
        <v>100</v>
      </c>
      <c r="I100" s="12">
        <v>99</v>
      </c>
      <c r="J100" s="12">
        <v>98</v>
      </c>
      <c r="K100" s="12">
        <v>99</v>
      </c>
      <c r="L100" s="12">
        <v>785</v>
      </c>
      <c r="M100" s="13">
        <f t="shared" si="2"/>
        <v>0.87222222222222223</v>
      </c>
      <c r="N100" s="12" t="s">
        <v>70</v>
      </c>
    </row>
    <row r="101" spans="1:14">
      <c r="A101" s="12" t="s">
        <v>103</v>
      </c>
      <c r="B101" s="14" t="s">
        <v>247</v>
      </c>
      <c r="C101" s="12">
        <v>96</v>
      </c>
      <c r="D101" s="12">
        <v>68</v>
      </c>
      <c r="E101" s="12">
        <v>68</v>
      </c>
      <c r="F101" s="12">
        <v>61</v>
      </c>
      <c r="G101" s="12">
        <v>80</v>
      </c>
      <c r="H101" s="12">
        <v>98</v>
      </c>
      <c r="I101" s="12">
        <v>99</v>
      </c>
      <c r="J101" s="12">
        <v>98</v>
      </c>
      <c r="K101" s="12">
        <v>99</v>
      </c>
      <c r="L101" s="12">
        <v>767</v>
      </c>
      <c r="M101" s="13">
        <f t="shared" si="2"/>
        <v>0.85222222222222221</v>
      </c>
      <c r="N101" s="12" t="s">
        <v>70</v>
      </c>
    </row>
    <row r="102" spans="1:14">
      <c r="A102" s="12" t="s">
        <v>104</v>
      </c>
      <c r="B102" s="14" t="s">
        <v>248</v>
      </c>
      <c r="C102" s="12">
        <v>77</v>
      </c>
      <c r="D102" s="12">
        <v>52</v>
      </c>
      <c r="E102" s="12">
        <v>62</v>
      </c>
      <c r="F102" s="12">
        <v>45</v>
      </c>
      <c r="G102" s="12">
        <v>82</v>
      </c>
      <c r="H102" s="12">
        <v>96</v>
      </c>
      <c r="I102" s="12">
        <v>97</v>
      </c>
      <c r="J102" s="12">
        <v>97</v>
      </c>
      <c r="K102" s="12">
        <v>97</v>
      </c>
      <c r="L102" s="12">
        <v>705</v>
      </c>
      <c r="M102" s="13">
        <f t="shared" si="2"/>
        <v>0.78333333333333333</v>
      </c>
      <c r="N102" s="12" t="s">
        <v>70</v>
      </c>
    </row>
    <row r="103" spans="1:14">
      <c r="A103" s="12" t="s">
        <v>105</v>
      </c>
      <c r="B103" s="14" t="s">
        <v>249</v>
      </c>
      <c r="C103" s="12">
        <v>70</v>
      </c>
      <c r="D103" s="12">
        <v>77</v>
      </c>
      <c r="E103" s="12">
        <v>66</v>
      </c>
      <c r="F103" s="12">
        <v>50</v>
      </c>
      <c r="G103" s="12">
        <v>87</v>
      </c>
      <c r="H103" s="12">
        <v>98</v>
      </c>
      <c r="I103" s="12">
        <v>96</v>
      </c>
      <c r="J103" s="12">
        <v>95</v>
      </c>
      <c r="K103" s="12">
        <v>95</v>
      </c>
      <c r="L103" s="12">
        <v>734</v>
      </c>
      <c r="M103" s="13">
        <f t="shared" si="2"/>
        <v>0.81555555555555559</v>
      </c>
      <c r="N103" s="12" t="s">
        <v>70</v>
      </c>
    </row>
    <row r="104" spans="1:14">
      <c r="A104" s="12" t="s">
        <v>106</v>
      </c>
      <c r="B104" s="14" t="s">
        <v>250</v>
      </c>
      <c r="C104" s="12">
        <v>100</v>
      </c>
      <c r="D104" s="12">
        <v>94</v>
      </c>
      <c r="E104" s="12">
        <v>89</v>
      </c>
      <c r="F104" s="12">
        <v>80</v>
      </c>
      <c r="G104" s="12">
        <v>96</v>
      </c>
      <c r="H104" s="12">
        <v>98</v>
      </c>
      <c r="I104" s="12">
        <v>99</v>
      </c>
      <c r="J104" s="12">
        <v>98</v>
      </c>
      <c r="K104" s="12">
        <v>97</v>
      </c>
      <c r="L104" s="12">
        <v>851</v>
      </c>
      <c r="M104" s="13">
        <f t="shared" si="2"/>
        <v>0.94555555555555559</v>
      </c>
      <c r="N104" s="12" t="s">
        <v>70</v>
      </c>
    </row>
    <row r="105" spans="1:14">
      <c r="A105" s="12" t="s">
        <v>107</v>
      </c>
      <c r="B105" s="14" t="s">
        <v>251</v>
      </c>
      <c r="C105" s="12">
        <v>97</v>
      </c>
      <c r="D105" s="12">
        <v>92</v>
      </c>
      <c r="E105" s="12">
        <v>92</v>
      </c>
      <c r="F105" s="12">
        <v>94</v>
      </c>
      <c r="G105" s="12">
        <v>94</v>
      </c>
      <c r="H105" s="12">
        <v>100</v>
      </c>
      <c r="I105" s="12">
        <v>100</v>
      </c>
      <c r="J105" s="12">
        <v>100</v>
      </c>
      <c r="K105" s="12">
        <v>100</v>
      </c>
      <c r="L105" s="12">
        <v>869</v>
      </c>
      <c r="M105" s="13">
        <f t="shared" si="2"/>
        <v>0.9655555555555555</v>
      </c>
      <c r="N105" s="12" t="s">
        <v>70</v>
      </c>
    </row>
    <row r="106" spans="1:14">
      <c r="A106" s="12" t="s">
        <v>108</v>
      </c>
      <c r="B106" s="14" t="s">
        <v>252</v>
      </c>
      <c r="C106" s="12">
        <v>83</v>
      </c>
      <c r="D106" s="12">
        <v>97</v>
      </c>
      <c r="E106" s="12">
        <v>84</v>
      </c>
      <c r="F106" s="12">
        <v>92</v>
      </c>
      <c r="G106" s="12">
        <v>86</v>
      </c>
      <c r="H106" s="12">
        <v>100</v>
      </c>
      <c r="I106" s="12">
        <v>98</v>
      </c>
      <c r="J106" s="12">
        <v>98</v>
      </c>
      <c r="K106" s="12">
        <v>98</v>
      </c>
      <c r="L106" s="12">
        <v>836</v>
      </c>
      <c r="M106" s="13">
        <f t="shared" si="2"/>
        <v>0.92888888888888888</v>
      </c>
      <c r="N106" s="12" t="s">
        <v>70</v>
      </c>
    </row>
    <row r="107" spans="1:14">
      <c r="A107" s="12" t="s">
        <v>109</v>
      </c>
      <c r="B107" s="14" t="s">
        <v>253</v>
      </c>
      <c r="C107" s="12">
        <v>84</v>
      </c>
      <c r="D107" s="12">
        <v>79</v>
      </c>
      <c r="E107" s="12">
        <v>75</v>
      </c>
      <c r="F107" s="12">
        <v>64</v>
      </c>
      <c r="G107" s="12">
        <v>70</v>
      </c>
      <c r="H107" s="12">
        <v>100</v>
      </c>
      <c r="I107" s="12">
        <v>100</v>
      </c>
      <c r="J107" s="12">
        <v>98</v>
      </c>
      <c r="K107" s="12">
        <v>100</v>
      </c>
      <c r="L107" s="12">
        <v>770</v>
      </c>
      <c r="M107" s="13">
        <f t="shared" si="2"/>
        <v>0.85555555555555551</v>
      </c>
      <c r="N107" s="12" t="s">
        <v>70</v>
      </c>
    </row>
    <row r="108" spans="1:14">
      <c r="A108" s="12" t="s">
        <v>110</v>
      </c>
      <c r="B108" s="14" t="s">
        <v>254</v>
      </c>
      <c r="C108" s="12">
        <v>72</v>
      </c>
      <c r="D108" s="12">
        <v>90</v>
      </c>
      <c r="E108" s="12">
        <v>91</v>
      </c>
      <c r="F108" s="12">
        <v>63</v>
      </c>
      <c r="G108" s="12">
        <v>90</v>
      </c>
      <c r="H108" s="12">
        <v>100</v>
      </c>
      <c r="I108" s="12">
        <v>99</v>
      </c>
      <c r="J108" s="12">
        <v>99</v>
      </c>
      <c r="K108" s="12">
        <v>98</v>
      </c>
      <c r="L108" s="12">
        <v>802</v>
      </c>
      <c r="M108" s="13">
        <f t="shared" si="2"/>
        <v>0.89111111111111108</v>
      </c>
      <c r="N108" s="12" t="s">
        <v>70</v>
      </c>
    </row>
    <row r="109" spans="1:14">
      <c r="A109" s="12" t="s">
        <v>111</v>
      </c>
      <c r="B109" s="14" t="s">
        <v>255</v>
      </c>
      <c r="C109" s="12">
        <v>89</v>
      </c>
      <c r="D109" s="12">
        <v>77</v>
      </c>
      <c r="E109" s="12">
        <v>64</v>
      </c>
      <c r="F109" s="12">
        <v>51</v>
      </c>
      <c r="G109" s="12">
        <v>75</v>
      </c>
      <c r="H109" s="12">
        <v>96</v>
      </c>
      <c r="I109" s="12">
        <v>96</v>
      </c>
      <c r="J109" s="12">
        <v>96</v>
      </c>
      <c r="K109" s="12">
        <v>94</v>
      </c>
      <c r="L109" s="12">
        <v>738</v>
      </c>
      <c r="M109" s="13">
        <f t="shared" si="2"/>
        <v>0.82</v>
      </c>
      <c r="N109" s="12" t="s">
        <v>70</v>
      </c>
    </row>
    <row r="110" spans="1:14" ht="15.75" thickBot="1">
      <c r="A110" s="12" t="s">
        <v>112</v>
      </c>
      <c r="B110" s="14" t="s">
        <v>256</v>
      </c>
      <c r="C110" s="12">
        <v>95</v>
      </c>
      <c r="D110" s="12">
        <v>93</v>
      </c>
      <c r="E110" s="12">
        <v>74</v>
      </c>
      <c r="F110" s="12">
        <v>78</v>
      </c>
      <c r="G110" s="12">
        <v>88</v>
      </c>
      <c r="H110" s="12">
        <v>100</v>
      </c>
      <c r="I110" s="12">
        <v>99</v>
      </c>
      <c r="J110" s="12">
        <v>99</v>
      </c>
      <c r="K110" s="12">
        <v>98</v>
      </c>
      <c r="L110" s="12">
        <v>824</v>
      </c>
      <c r="M110" s="13">
        <f t="shared" si="2"/>
        <v>0.91555555555555557</v>
      </c>
      <c r="N110" s="12" t="s">
        <v>70</v>
      </c>
    </row>
    <row r="111" spans="1:14" ht="18.75" customHeight="1" thickBot="1">
      <c r="A111" s="12" t="s">
        <v>113</v>
      </c>
      <c r="B111" s="20" t="s">
        <v>257</v>
      </c>
      <c r="C111" s="12">
        <v>68</v>
      </c>
      <c r="D111" s="12">
        <v>75</v>
      </c>
      <c r="E111" s="12">
        <v>59</v>
      </c>
      <c r="F111" s="12">
        <v>62</v>
      </c>
      <c r="G111" s="12">
        <v>66</v>
      </c>
      <c r="H111" s="12">
        <v>98</v>
      </c>
      <c r="I111" s="12">
        <v>96</v>
      </c>
      <c r="J111" s="12">
        <v>96</v>
      </c>
      <c r="K111" s="12">
        <v>96</v>
      </c>
      <c r="L111" s="12">
        <v>716</v>
      </c>
      <c r="M111" s="13">
        <f t="shared" si="2"/>
        <v>0.79555555555555557</v>
      </c>
      <c r="N111" s="12" t="s">
        <v>70</v>
      </c>
    </row>
    <row r="112" spans="1:14" ht="21" customHeight="1" thickBot="1">
      <c r="A112" s="12" t="s">
        <v>114</v>
      </c>
      <c r="B112" s="20" t="s">
        <v>258</v>
      </c>
      <c r="C112" s="12">
        <v>57</v>
      </c>
      <c r="D112" s="12">
        <v>27</v>
      </c>
      <c r="E112" s="12">
        <v>55</v>
      </c>
      <c r="F112" s="12">
        <v>31</v>
      </c>
      <c r="G112" s="12">
        <v>83</v>
      </c>
      <c r="H112" s="12">
        <v>98</v>
      </c>
      <c r="I112" s="12">
        <v>96</v>
      </c>
      <c r="J112" s="12">
        <v>95</v>
      </c>
      <c r="K112" s="12">
        <v>96</v>
      </c>
      <c r="L112" s="12">
        <v>638</v>
      </c>
      <c r="M112" s="13">
        <f t="shared" si="2"/>
        <v>0.7088888888888889</v>
      </c>
      <c r="N112" s="18" t="s">
        <v>147</v>
      </c>
    </row>
    <row r="113" spans="1:14" ht="15.75" thickBot="1">
      <c r="A113" s="12" t="s">
        <v>115</v>
      </c>
      <c r="B113" s="14" t="s">
        <v>259</v>
      </c>
      <c r="C113" s="12">
        <v>96</v>
      </c>
      <c r="D113" s="12">
        <v>65</v>
      </c>
      <c r="E113" s="12">
        <v>76</v>
      </c>
      <c r="F113" s="12">
        <v>56</v>
      </c>
      <c r="G113" s="12">
        <v>65</v>
      </c>
      <c r="H113" s="12">
        <v>100</v>
      </c>
      <c r="I113" s="12">
        <v>99</v>
      </c>
      <c r="J113" s="12">
        <v>96</v>
      </c>
      <c r="K113" s="12">
        <v>100</v>
      </c>
      <c r="L113" s="12">
        <v>753</v>
      </c>
      <c r="M113" s="13">
        <f t="shared" si="2"/>
        <v>0.83666666666666667</v>
      </c>
      <c r="N113" s="12" t="s">
        <v>70</v>
      </c>
    </row>
    <row r="114" spans="1:14" ht="20.25" customHeight="1" thickBot="1">
      <c r="A114" s="12" t="s">
        <v>116</v>
      </c>
      <c r="B114" s="20" t="s">
        <v>260</v>
      </c>
      <c r="C114" s="12">
        <v>30</v>
      </c>
      <c r="D114" s="12">
        <v>51</v>
      </c>
      <c r="E114" s="12">
        <v>40</v>
      </c>
      <c r="F114" s="12">
        <v>21</v>
      </c>
      <c r="G114" s="12">
        <v>64</v>
      </c>
      <c r="H114" s="12">
        <v>98</v>
      </c>
      <c r="I114" s="12">
        <v>96</v>
      </c>
      <c r="J114" s="12">
        <v>94</v>
      </c>
      <c r="K114" s="12">
        <v>97</v>
      </c>
      <c r="L114" s="12">
        <v>591</v>
      </c>
      <c r="M114" s="13">
        <f t="shared" si="2"/>
        <v>0.65666666666666662</v>
      </c>
      <c r="N114" s="18" t="s">
        <v>145</v>
      </c>
    </row>
    <row r="115" spans="1:14">
      <c r="A115" s="12" t="s">
        <v>117</v>
      </c>
      <c r="B115" s="14" t="s">
        <v>261</v>
      </c>
      <c r="C115" s="12">
        <v>69</v>
      </c>
      <c r="D115" s="12">
        <v>27</v>
      </c>
      <c r="E115" s="12">
        <v>49</v>
      </c>
      <c r="F115" s="12">
        <v>41</v>
      </c>
      <c r="G115" s="12">
        <v>75</v>
      </c>
      <c r="H115" s="12">
        <v>96</v>
      </c>
      <c r="I115" s="12">
        <v>94</v>
      </c>
      <c r="J115" s="12">
        <v>95</v>
      </c>
      <c r="K115" s="12">
        <v>95</v>
      </c>
      <c r="L115" s="12">
        <v>641</v>
      </c>
      <c r="M115" s="13">
        <f t="shared" si="2"/>
        <v>0.7122222222222222</v>
      </c>
      <c r="N115" s="18" t="s">
        <v>140</v>
      </c>
    </row>
    <row r="116" spans="1:14">
      <c r="A116" s="12" t="s">
        <v>118</v>
      </c>
      <c r="B116" s="14" t="s">
        <v>262</v>
      </c>
      <c r="C116" s="12">
        <v>93</v>
      </c>
      <c r="D116" s="12">
        <v>76</v>
      </c>
      <c r="E116" s="12">
        <v>92</v>
      </c>
      <c r="F116" s="12">
        <v>89</v>
      </c>
      <c r="G116" s="12">
        <v>98</v>
      </c>
      <c r="H116" s="12">
        <v>100</v>
      </c>
      <c r="I116" s="12">
        <v>100</v>
      </c>
      <c r="J116" s="12">
        <v>100</v>
      </c>
      <c r="K116" s="12">
        <v>100</v>
      </c>
      <c r="L116" s="12">
        <v>848</v>
      </c>
      <c r="M116" s="13">
        <f t="shared" si="2"/>
        <v>0.94222222222222218</v>
      </c>
      <c r="N116" s="12" t="s">
        <v>70</v>
      </c>
    </row>
    <row r="117" spans="1:14">
      <c r="A117" s="12" t="s">
        <v>119</v>
      </c>
      <c r="B117" s="14" t="s">
        <v>263</v>
      </c>
      <c r="C117" s="12">
        <v>61</v>
      </c>
      <c r="D117" s="12">
        <v>25</v>
      </c>
      <c r="E117" s="12">
        <v>53</v>
      </c>
      <c r="F117" s="12">
        <v>42</v>
      </c>
      <c r="G117" s="12">
        <v>66</v>
      </c>
      <c r="H117" s="12">
        <v>97</v>
      </c>
      <c r="I117" s="12">
        <v>96</v>
      </c>
      <c r="J117" s="12">
        <v>95</v>
      </c>
      <c r="K117" s="12">
        <v>96</v>
      </c>
      <c r="L117" s="12">
        <v>631</v>
      </c>
      <c r="M117" s="13">
        <f t="shared" si="2"/>
        <v>0.70111111111111113</v>
      </c>
      <c r="N117" s="18" t="s">
        <v>140</v>
      </c>
    </row>
    <row r="118" spans="1:14">
      <c r="A118" s="12" t="s">
        <v>120</v>
      </c>
      <c r="B118" s="14" t="s">
        <v>264</v>
      </c>
      <c r="C118" s="12">
        <v>72</v>
      </c>
      <c r="D118" s="12">
        <v>91</v>
      </c>
      <c r="E118" s="12">
        <v>94</v>
      </c>
      <c r="F118" s="12">
        <v>76</v>
      </c>
      <c r="G118" s="12">
        <v>93</v>
      </c>
      <c r="H118" s="12">
        <v>100</v>
      </c>
      <c r="I118" s="12">
        <v>98</v>
      </c>
      <c r="J118" s="12">
        <v>97</v>
      </c>
      <c r="K118" s="12">
        <v>97</v>
      </c>
      <c r="L118" s="12">
        <v>818</v>
      </c>
      <c r="M118" s="13">
        <f t="shared" si="2"/>
        <v>0.90888888888888886</v>
      </c>
      <c r="N118" s="12" t="s">
        <v>70</v>
      </c>
    </row>
    <row r="119" spans="1:14">
      <c r="A119" s="12" t="s">
        <v>121</v>
      </c>
      <c r="B119" s="14" t="s">
        <v>265</v>
      </c>
      <c r="C119" s="12">
        <v>98</v>
      </c>
      <c r="D119" s="12">
        <v>96</v>
      </c>
      <c r="E119" s="12">
        <v>91</v>
      </c>
      <c r="F119" s="12">
        <v>100</v>
      </c>
      <c r="G119" s="12">
        <v>95</v>
      </c>
      <c r="H119" s="12">
        <v>100</v>
      </c>
      <c r="I119" s="12">
        <v>100</v>
      </c>
      <c r="J119" s="12">
        <v>100</v>
      </c>
      <c r="K119" s="12">
        <v>98</v>
      </c>
      <c r="L119" s="12">
        <v>878</v>
      </c>
      <c r="M119" s="13">
        <f t="shared" si="2"/>
        <v>0.97555555555555551</v>
      </c>
      <c r="N119" s="12" t="s">
        <v>70</v>
      </c>
    </row>
    <row r="120" spans="1:14">
      <c r="A120" s="12" t="s">
        <v>122</v>
      </c>
      <c r="B120" s="14" t="s">
        <v>266</v>
      </c>
      <c r="C120" s="12">
        <v>47</v>
      </c>
      <c r="D120" s="12">
        <v>57</v>
      </c>
      <c r="E120" s="12">
        <v>38</v>
      </c>
      <c r="F120" s="12">
        <v>52</v>
      </c>
      <c r="G120" s="12">
        <v>80</v>
      </c>
      <c r="H120" s="12">
        <v>99</v>
      </c>
      <c r="I120" s="12">
        <v>97</v>
      </c>
      <c r="J120" s="12">
        <v>97</v>
      </c>
      <c r="K120" s="12">
        <v>96</v>
      </c>
      <c r="L120" s="12">
        <v>663</v>
      </c>
      <c r="M120" s="13">
        <f t="shared" si="2"/>
        <v>0.73666666666666669</v>
      </c>
      <c r="N120" s="18" t="s">
        <v>148</v>
      </c>
    </row>
    <row r="121" spans="1:14">
      <c r="A121" s="12" t="s">
        <v>123</v>
      </c>
      <c r="B121" s="14" t="s">
        <v>267</v>
      </c>
      <c r="C121" s="12">
        <v>58</v>
      </c>
      <c r="D121" s="12">
        <v>55</v>
      </c>
      <c r="E121" s="12">
        <v>54</v>
      </c>
      <c r="F121" s="12">
        <v>52</v>
      </c>
      <c r="G121" s="12">
        <v>51</v>
      </c>
      <c r="H121" s="12">
        <v>99</v>
      </c>
      <c r="I121" s="12">
        <v>97</v>
      </c>
      <c r="J121" s="12">
        <v>97</v>
      </c>
      <c r="K121" s="12">
        <v>98</v>
      </c>
      <c r="L121" s="12">
        <v>661</v>
      </c>
      <c r="M121" s="13">
        <f t="shared" si="2"/>
        <v>0.73444444444444446</v>
      </c>
      <c r="N121" s="12" t="s">
        <v>70</v>
      </c>
    </row>
    <row r="122" spans="1:14">
      <c r="A122" s="12" t="s">
        <v>124</v>
      </c>
      <c r="B122" s="14" t="s">
        <v>268</v>
      </c>
      <c r="C122" s="12">
        <v>57</v>
      </c>
      <c r="D122" s="12">
        <v>80</v>
      </c>
      <c r="E122" s="12">
        <v>68</v>
      </c>
      <c r="F122" s="12">
        <v>73</v>
      </c>
      <c r="G122" s="12">
        <v>78</v>
      </c>
      <c r="H122" s="12">
        <v>98</v>
      </c>
      <c r="I122" s="12">
        <v>96</v>
      </c>
      <c r="J122" s="12">
        <v>95</v>
      </c>
      <c r="K122" s="12">
        <v>97</v>
      </c>
      <c r="L122" s="12">
        <v>742</v>
      </c>
      <c r="M122" s="13">
        <f t="shared" si="2"/>
        <v>0.82444444444444442</v>
      </c>
      <c r="N122" s="12" t="s">
        <v>70</v>
      </c>
    </row>
    <row r="123" spans="1:14">
      <c r="A123" s="12" t="s">
        <v>125</v>
      </c>
      <c r="B123" s="14" t="s">
        <v>269</v>
      </c>
      <c r="C123" s="12">
        <v>79</v>
      </c>
      <c r="D123" s="12">
        <v>80</v>
      </c>
      <c r="E123" s="12">
        <v>75</v>
      </c>
      <c r="F123" s="12">
        <v>73</v>
      </c>
      <c r="G123" s="12">
        <v>59</v>
      </c>
      <c r="H123" s="12">
        <v>99</v>
      </c>
      <c r="I123" s="12">
        <v>97</v>
      </c>
      <c r="J123" s="12">
        <v>96</v>
      </c>
      <c r="K123" s="12">
        <v>95</v>
      </c>
      <c r="L123" s="12">
        <v>753</v>
      </c>
      <c r="M123" s="13">
        <f t="shared" si="2"/>
        <v>0.83666666666666667</v>
      </c>
      <c r="N123" s="12" t="s">
        <v>70</v>
      </c>
    </row>
    <row r="124" spans="1:14">
      <c r="A124" s="12" t="s">
        <v>126</v>
      </c>
      <c r="B124" s="14" t="s">
        <v>270</v>
      </c>
      <c r="C124" s="12">
        <v>99</v>
      </c>
      <c r="D124" s="12">
        <v>95</v>
      </c>
      <c r="E124" s="12">
        <v>90</v>
      </c>
      <c r="F124" s="12">
        <v>94</v>
      </c>
      <c r="G124" s="12">
        <v>85</v>
      </c>
      <c r="H124" s="12">
        <v>100</v>
      </c>
      <c r="I124" s="12">
        <v>100</v>
      </c>
      <c r="J124" s="12">
        <v>100</v>
      </c>
      <c r="K124" s="12">
        <v>100</v>
      </c>
      <c r="L124" s="12">
        <v>854</v>
      </c>
      <c r="M124" s="13">
        <f t="shared" si="2"/>
        <v>0.94888888888888889</v>
      </c>
      <c r="N124" s="12" t="s">
        <v>70</v>
      </c>
    </row>
    <row r="125" spans="1:14" ht="15.75" thickBot="1">
      <c r="A125" s="12" t="s">
        <v>127</v>
      </c>
      <c r="B125" s="14" t="s">
        <v>271</v>
      </c>
      <c r="C125" s="12">
        <v>45</v>
      </c>
      <c r="D125" s="12">
        <v>48</v>
      </c>
      <c r="E125" s="12">
        <v>57</v>
      </c>
      <c r="F125" s="12">
        <v>44</v>
      </c>
      <c r="G125" s="12">
        <v>64</v>
      </c>
      <c r="H125" s="12">
        <v>100</v>
      </c>
      <c r="I125" s="12">
        <v>97</v>
      </c>
      <c r="J125" s="12">
        <v>98</v>
      </c>
      <c r="K125" s="12">
        <v>96</v>
      </c>
      <c r="L125" s="12">
        <v>649</v>
      </c>
      <c r="M125" s="13">
        <f t="shared" si="2"/>
        <v>0.72111111111111115</v>
      </c>
      <c r="N125" s="12" t="s">
        <v>70</v>
      </c>
    </row>
    <row r="126" spans="1:14" ht="18" customHeight="1" thickBot="1">
      <c r="A126" s="12" t="s">
        <v>128</v>
      </c>
      <c r="B126" s="20" t="s">
        <v>272</v>
      </c>
      <c r="C126" s="12">
        <v>67</v>
      </c>
      <c r="D126" s="12">
        <v>78</v>
      </c>
      <c r="E126" s="12">
        <v>73</v>
      </c>
      <c r="F126" s="12">
        <v>49</v>
      </c>
      <c r="G126" s="12">
        <v>81</v>
      </c>
      <c r="H126" s="12">
        <v>99</v>
      </c>
      <c r="I126" s="12">
        <v>97</v>
      </c>
      <c r="J126" s="12">
        <v>96</v>
      </c>
      <c r="K126" s="12">
        <v>96</v>
      </c>
      <c r="L126" s="12">
        <v>736</v>
      </c>
      <c r="M126" s="13">
        <f t="shared" si="2"/>
        <v>0.81777777777777783</v>
      </c>
      <c r="N126" s="12" t="s">
        <v>70</v>
      </c>
    </row>
    <row r="127" spans="1:14" ht="18.75" customHeight="1" thickBot="1">
      <c r="A127" s="12" t="s">
        <v>129</v>
      </c>
      <c r="B127" s="20" t="s">
        <v>273</v>
      </c>
      <c r="C127" s="12">
        <v>68</v>
      </c>
      <c r="D127" s="12">
        <v>81</v>
      </c>
      <c r="E127" s="12">
        <v>69</v>
      </c>
      <c r="F127" s="12">
        <v>66</v>
      </c>
      <c r="G127" s="12">
        <v>86</v>
      </c>
      <c r="H127" s="12">
        <v>97</v>
      </c>
      <c r="I127" s="12">
        <v>95</v>
      </c>
      <c r="J127" s="12">
        <v>97</v>
      </c>
      <c r="K127" s="12">
        <v>96</v>
      </c>
      <c r="L127" s="12">
        <v>755</v>
      </c>
      <c r="M127" s="13">
        <f t="shared" si="2"/>
        <v>0.83888888888888891</v>
      </c>
      <c r="N127" s="12" t="s">
        <v>70</v>
      </c>
    </row>
    <row r="128" spans="1:14" ht="18" customHeight="1" thickBot="1">
      <c r="A128" s="12" t="s">
        <v>130</v>
      </c>
      <c r="B128" s="20" t="s">
        <v>274</v>
      </c>
      <c r="C128" s="12">
        <v>97</v>
      </c>
      <c r="D128" s="12">
        <v>76</v>
      </c>
      <c r="E128" s="12">
        <v>89</v>
      </c>
      <c r="F128" s="12">
        <v>83</v>
      </c>
      <c r="G128" s="12">
        <v>84</v>
      </c>
      <c r="H128" s="12">
        <v>100</v>
      </c>
      <c r="I128" s="12">
        <v>99</v>
      </c>
      <c r="J128" s="12">
        <v>98</v>
      </c>
      <c r="K128" s="12">
        <v>100</v>
      </c>
      <c r="L128" s="12">
        <v>826</v>
      </c>
      <c r="M128" s="13">
        <f t="shared" si="2"/>
        <v>0.9177777777777778</v>
      </c>
      <c r="N128" s="12" t="s">
        <v>70</v>
      </c>
    </row>
    <row r="129" spans="1:14" ht="20.25" customHeight="1" thickBot="1">
      <c r="A129" s="12" t="s">
        <v>131</v>
      </c>
      <c r="B129" s="20" t="s">
        <v>275</v>
      </c>
      <c r="C129" s="12">
        <v>77</v>
      </c>
      <c r="D129" s="12">
        <v>67</v>
      </c>
      <c r="E129" s="12">
        <v>74</v>
      </c>
      <c r="F129" s="12">
        <v>71</v>
      </c>
      <c r="G129" s="12">
        <v>68</v>
      </c>
      <c r="H129" s="12">
        <v>99</v>
      </c>
      <c r="I129" s="12">
        <v>98</v>
      </c>
      <c r="J129" s="12">
        <v>96</v>
      </c>
      <c r="K129" s="12">
        <v>97</v>
      </c>
      <c r="L129" s="12">
        <v>747</v>
      </c>
      <c r="M129" s="13">
        <f t="shared" si="2"/>
        <v>0.83</v>
      </c>
      <c r="N129" s="12" t="s">
        <v>70</v>
      </c>
    </row>
    <row r="130" spans="1:14" ht="15.75" thickBot="1">
      <c r="A130" s="12" t="s">
        <v>132</v>
      </c>
      <c r="B130" s="14" t="s">
        <v>276</v>
      </c>
      <c r="C130" s="12">
        <v>57</v>
      </c>
      <c r="D130" s="12">
        <v>48</v>
      </c>
      <c r="E130" s="12">
        <v>43</v>
      </c>
      <c r="F130" s="12">
        <v>47</v>
      </c>
      <c r="G130" s="12">
        <v>40</v>
      </c>
      <c r="H130" s="12">
        <v>98</v>
      </c>
      <c r="I130" s="12">
        <v>97</v>
      </c>
      <c r="J130" s="12">
        <v>97</v>
      </c>
      <c r="K130" s="12">
        <v>96</v>
      </c>
      <c r="L130" s="12">
        <v>623</v>
      </c>
      <c r="M130" s="13">
        <f t="shared" si="2"/>
        <v>0.69222222222222218</v>
      </c>
      <c r="N130" s="12" t="s">
        <v>70</v>
      </c>
    </row>
    <row r="131" spans="1:14" ht="21" customHeight="1" thickBot="1">
      <c r="A131" s="12" t="s">
        <v>133</v>
      </c>
      <c r="B131" s="20" t="s">
        <v>277</v>
      </c>
      <c r="C131" s="12">
        <v>68</v>
      </c>
      <c r="D131" s="12">
        <v>74</v>
      </c>
      <c r="E131" s="12">
        <v>68</v>
      </c>
      <c r="F131" s="12">
        <v>92</v>
      </c>
      <c r="G131" s="12">
        <v>66</v>
      </c>
      <c r="H131" s="12">
        <v>100</v>
      </c>
      <c r="I131" s="12">
        <v>98</v>
      </c>
      <c r="J131" s="12">
        <v>98</v>
      </c>
      <c r="K131" s="12">
        <v>96</v>
      </c>
      <c r="L131" s="12">
        <v>760</v>
      </c>
      <c r="M131" s="13">
        <f t="shared" si="2"/>
        <v>0.84444444444444444</v>
      </c>
      <c r="N131" s="12" t="s">
        <v>70</v>
      </c>
    </row>
    <row r="132" spans="1:14">
      <c r="A132" s="12" t="s">
        <v>134</v>
      </c>
      <c r="B132" s="14" t="s">
        <v>278</v>
      </c>
      <c r="C132" s="12">
        <v>83</v>
      </c>
      <c r="D132" s="12">
        <v>52</v>
      </c>
      <c r="E132" s="12">
        <v>83</v>
      </c>
      <c r="F132" s="12">
        <v>84</v>
      </c>
      <c r="G132" s="12">
        <v>88</v>
      </c>
      <c r="H132" s="12">
        <v>100</v>
      </c>
      <c r="I132" s="12">
        <v>100</v>
      </c>
      <c r="J132" s="12">
        <v>100</v>
      </c>
      <c r="K132" s="12">
        <v>100</v>
      </c>
      <c r="L132" s="12">
        <v>790</v>
      </c>
      <c r="M132" s="13">
        <f t="shared" si="2"/>
        <v>0.87777777777777777</v>
      </c>
      <c r="N132" s="12" t="s">
        <v>70</v>
      </c>
    </row>
    <row r="133" spans="1:14">
      <c r="A133" s="12" t="s">
        <v>135</v>
      </c>
      <c r="B133" s="14" t="s">
        <v>279</v>
      </c>
      <c r="C133" s="12">
        <v>80</v>
      </c>
      <c r="D133" s="12">
        <v>54</v>
      </c>
      <c r="E133" s="12">
        <v>47</v>
      </c>
      <c r="F133" s="12">
        <v>48</v>
      </c>
      <c r="G133" s="12">
        <v>55</v>
      </c>
      <c r="H133" s="12">
        <v>98</v>
      </c>
      <c r="I133" s="12">
        <v>96</v>
      </c>
      <c r="J133" s="12">
        <v>97</v>
      </c>
      <c r="K133" s="12">
        <v>97</v>
      </c>
      <c r="L133" s="12">
        <v>672</v>
      </c>
      <c r="M133" s="13">
        <f t="shared" ref="M133" si="3">L133/900</f>
        <v>0.7466666666666667</v>
      </c>
      <c r="N133" s="12" t="s">
        <v>136</v>
      </c>
    </row>
    <row r="134" spans="1:14">
      <c r="A134" s="26"/>
      <c r="B134" s="14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</row>
    <row r="135" spans="1:14">
      <c r="A135" s="26"/>
      <c r="B135" s="14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</row>
    <row r="136" spans="1:14" ht="45">
      <c r="A136" s="26"/>
      <c r="B136" s="21" t="s">
        <v>280</v>
      </c>
      <c r="C136" s="27">
        <v>401</v>
      </c>
      <c r="D136" s="27">
        <v>402</v>
      </c>
      <c r="E136" s="27">
        <v>403</v>
      </c>
      <c r="F136" s="27">
        <v>404</v>
      </c>
      <c r="G136" s="27">
        <v>405</v>
      </c>
      <c r="H136" s="28" t="s">
        <v>1041</v>
      </c>
      <c r="I136" s="28" t="s">
        <v>282</v>
      </c>
      <c r="J136" s="26"/>
      <c r="K136" s="26"/>
      <c r="L136" s="26"/>
      <c r="M136" s="26"/>
      <c r="N136" s="26"/>
    </row>
    <row r="137" spans="1:14">
      <c r="A137" s="26"/>
      <c r="B137" s="21" t="s">
        <v>283</v>
      </c>
      <c r="C137" s="27">
        <v>7</v>
      </c>
      <c r="D137" s="27" t="s">
        <v>1048</v>
      </c>
      <c r="E137" s="27">
        <v>1</v>
      </c>
      <c r="F137" s="27">
        <v>7</v>
      </c>
      <c r="G137" s="27">
        <v>1</v>
      </c>
      <c r="H137" s="27">
        <v>13</v>
      </c>
      <c r="I137" s="29">
        <v>0.79</v>
      </c>
      <c r="J137" s="26"/>
      <c r="K137" s="26"/>
      <c r="L137" s="26"/>
      <c r="M137" s="26"/>
      <c r="N137" s="26"/>
    </row>
    <row r="138" spans="1:14">
      <c r="A138" s="26"/>
      <c r="B138" s="21" t="s">
        <v>284</v>
      </c>
      <c r="C138" s="27">
        <v>4</v>
      </c>
      <c r="D138" s="27">
        <v>4</v>
      </c>
      <c r="E138" s="27">
        <v>2</v>
      </c>
      <c r="F138" s="27">
        <v>4</v>
      </c>
      <c r="G138" s="27">
        <v>0</v>
      </c>
      <c r="H138" s="27">
        <v>9</v>
      </c>
      <c r="I138" s="29">
        <v>0.86</v>
      </c>
      <c r="J138" s="26"/>
      <c r="K138" s="26"/>
      <c r="L138" s="26"/>
      <c r="M138" s="26"/>
      <c r="N138" s="26"/>
    </row>
    <row r="139" spans="1:14" ht="30">
      <c r="A139" s="26"/>
      <c r="B139" s="26"/>
      <c r="C139" s="28" t="s">
        <v>285</v>
      </c>
      <c r="D139" s="29">
        <v>0.91</v>
      </c>
      <c r="E139" s="29">
        <v>0.97</v>
      </c>
      <c r="F139" s="29">
        <v>0.91</v>
      </c>
      <c r="G139" s="29">
        <v>0.99</v>
      </c>
      <c r="H139" s="29">
        <v>0.82</v>
      </c>
      <c r="I139" s="26"/>
      <c r="J139" s="26"/>
      <c r="K139" s="26"/>
      <c r="L139" s="26"/>
      <c r="M139" s="26"/>
      <c r="N139" s="26"/>
    </row>
    <row r="140" spans="1:14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</row>
    <row r="141" spans="1:14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lab2_admin</dc:creator>
  <cp:lastModifiedBy>lab2_admin</cp:lastModifiedBy>
  <dcterms:created xsi:type="dcterms:W3CDTF">2023-07-06T04:27:38Z</dcterms:created>
  <dcterms:modified xsi:type="dcterms:W3CDTF">2023-07-10T08:58:37Z</dcterms:modified>
</cp:coreProperties>
</file>