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O68" i="3"/>
  <c r="O67"/>
  <c r="O66"/>
  <c r="O65"/>
  <c r="O64"/>
  <c r="O63"/>
  <c r="O62"/>
  <c r="O61"/>
  <c r="O60"/>
  <c r="O59"/>
  <c r="O58"/>
  <c r="O57"/>
  <c r="O56"/>
  <c r="O55"/>
  <c r="O54"/>
  <c r="O53"/>
  <c r="O52"/>
  <c r="O51"/>
  <c r="O50"/>
  <c r="O49"/>
  <c r="O48"/>
  <c r="O47"/>
  <c r="O46"/>
  <c r="O45"/>
  <c r="O44"/>
  <c r="O43"/>
  <c r="O42"/>
  <c r="O41"/>
  <c r="O40"/>
  <c r="O39"/>
  <c r="O38"/>
  <c r="O37"/>
  <c r="O36"/>
  <c r="O35"/>
  <c r="O34"/>
  <c r="O33"/>
  <c r="O32"/>
  <c r="O31"/>
  <c r="O30"/>
  <c r="O29"/>
  <c r="O28"/>
  <c r="O27"/>
  <c r="O26"/>
  <c r="O25"/>
  <c r="O24"/>
  <c r="O23"/>
  <c r="O22"/>
  <c r="O21"/>
  <c r="O20"/>
  <c r="O19"/>
  <c r="O18"/>
  <c r="O17"/>
  <c r="O16"/>
  <c r="O15"/>
  <c r="O14"/>
  <c r="O13"/>
  <c r="O12"/>
  <c r="O11"/>
  <c r="O10"/>
  <c r="O9"/>
  <c r="O8"/>
  <c r="O7"/>
  <c r="O6"/>
  <c r="O5"/>
  <c r="O4"/>
  <c r="O3"/>
  <c r="O4" i="2"/>
  <c r="O5"/>
  <c r="O6"/>
  <c r="O7"/>
  <c r="O8"/>
  <c r="O9"/>
  <c r="O10"/>
  <c r="O11"/>
  <c r="O12"/>
  <c r="O13"/>
  <c r="O14"/>
  <c r="O15"/>
  <c r="O16"/>
  <c r="O17"/>
  <c r="O18"/>
  <c r="O19"/>
  <c r="O20"/>
  <c r="O21"/>
  <c r="O22"/>
  <c r="O23"/>
  <c r="O24"/>
  <c r="O25"/>
  <c r="O26"/>
  <c r="O27"/>
  <c r="O28"/>
  <c r="O29"/>
  <c r="O30"/>
  <c r="O31"/>
  <c r="O32"/>
  <c r="O33"/>
  <c r="O34"/>
  <c r="O35"/>
  <c r="O36"/>
  <c r="O37"/>
  <c r="O38"/>
  <c r="O39"/>
  <c r="O40"/>
  <c r="O41"/>
  <c r="O42"/>
  <c r="O43"/>
  <c r="O44"/>
  <c r="O45"/>
  <c r="O46"/>
  <c r="O47"/>
  <c r="O48"/>
  <c r="O49"/>
  <c r="O50"/>
  <c r="O51"/>
  <c r="O52"/>
  <c r="O53"/>
  <c r="O54"/>
  <c r="O55"/>
  <c r="O56"/>
  <c r="O57"/>
  <c r="O58"/>
  <c r="O59"/>
  <c r="O60"/>
  <c r="O61"/>
  <c r="O62"/>
  <c r="O63"/>
  <c r="O64"/>
  <c r="O65"/>
  <c r="O66"/>
  <c r="O67"/>
  <c r="O68"/>
  <c r="O3"/>
  <c r="O4" i="1"/>
  <c r="O5"/>
  <c r="O6"/>
  <c r="O7"/>
  <c r="O8"/>
  <c r="O9"/>
  <c r="O10"/>
  <c r="O11"/>
  <c r="O12"/>
  <c r="O13"/>
  <c r="O14"/>
  <c r="O15"/>
  <c r="O16"/>
  <c r="O17"/>
  <c r="O18"/>
  <c r="O19"/>
  <c r="O20"/>
  <c r="O21"/>
  <c r="O22"/>
  <c r="O23"/>
  <c r="O24"/>
  <c r="O25"/>
  <c r="O26"/>
  <c r="O27"/>
  <c r="O28"/>
  <c r="O29"/>
  <c r="O30"/>
  <c r="O31"/>
  <c r="O32"/>
  <c r="O33"/>
  <c r="O34"/>
  <c r="O35"/>
  <c r="O36"/>
  <c r="O37"/>
  <c r="O38"/>
  <c r="O39"/>
  <c r="O40"/>
  <c r="O41"/>
  <c r="O42"/>
  <c r="O43"/>
  <c r="O44"/>
  <c r="O45"/>
  <c r="O46"/>
  <c r="O47"/>
  <c r="O48"/>
  <c r="O49"/>
  <c r="O50"/>
  <c r="O51"/>
  <c r="O52"/>
  <c r="O53"/>
  <c r="O54"/>
  <c r="O55"/>
  <c r="O56"/>
  <c r="O57"/>
  <c r="O58"/>
  <c r="O59"/>
  <c r="O60"/>
  <c r="O61"/>
  <c r="O62"/>
  <c r="O63"/>
  <c r="O64"/>
  <c r="O65"/>
  <c r="O66"/>
  <c r="O67"/>
  <c r="O3"/>
</calcChain>
</file>

<file path=xl/sharedStrings.xml><?xml version="1.0" encoding="utf-8"?>
<sst xmlns="http://schemas.openxmlformats.org/spreadsheetml/2006/main" count="609" uniqueCount="454">
  <si>
    <t>PIN</t>
  </si>
  <si>
    <t>TOTAL</t>
  </si>
  <si>
    <t>STATUS</t>
  </si>
  <si>
    <t>22596-CM-001</t>
  </si>
  <si>
    <t>ADARI JAVAHAR AVINASH</t>
  </si>
  <si>
    <t>PASSED</t>
  </si>
  <si>
    <t>22596-CM-002</t>
  </si>
  <si>
    <t>AKKIREDDY KAVYA</t>
  </si>
  <si>
    <t>22596-CM-003</t>
  </si>
  <si>
    <t>AKKIREDDY PAVAN</t>
  </si>
  <si>
    <t>FAIL(103,104)</t>
  </si>
  <si>
    <t>22596-CM-004</t>
  </si>
  <si>
    <t>AKKIREDDY RISHI PRIYA</t>
  </si>
  <si>
    <t>FAIL(102,103,104,105)</t>
  </si>
  <si>
    <t>22596-CM-005</t>
  </si>
  <si>
    <t>ALLA VARSHIT</t>
  </si>
  <si>
    <t>FAIL(104)</t>
  </si>
  <si>
    <t>22596-CM-006</t>
  </si>
  <si>
    <t>ALLU LIKHITA</t>
  </si>
  <si>
    <t>102,104)</t>
  </si>
  <si>
    <t>22596-CM-007</t>
  </si>
  <si>
    <t>ALLURI SAI KONDA RAJU</t>
  </si>
  <si>
    <t>22596-CM-008</t>
  </si>
  <si>
    <t>ALTHI MADHULATHA</t>
  </si>
  <si>
    <t>fail(103,104)</t>
  </si>
  <si>
    <t>22596-CM-009</t>
  </si>
  <si>
    <t>AMALAPURAM HEMARAJ</t>
  </si>
  <si>
    <t>22596-CM-010</t>
  </si>
  <si>
    <t>AMANANA TEJASWINI</t>
  </si>
  <si>
    <t>22596-CM-011</t>
  </si>
  <si>
    <t>ANAPARTHI KARTHIK</t>
  </si>
  <si>
    <t>22596-CM-012</t>
  </si>
  <si>
    <t>ANNEPU MANEESHA</t>
  </si>
  <si>
    <t>22596-CM-013</t>
  </si>
  <si>
    <t>AVALA  DINESH BABU</t>
  </si>
  <si>
    <t>22596-CM-014</t>
  </si>
  <si>
    <t xml:space="preserve">BALIVADA VINAY </t>
  </si>
  <si>
    <t>22596-CM-015</t>
  </si>
  <si>
    <t>BOMMIDI TEJESWARA RAO</t>
  </si>
  <si>
    <t>FAIL(102,103,104,106)</t>
  </si>
  <si>
    <t>22596-CM-016</t>
  </si>
  <si>
    <t xml:space="preserve">BANDARU RAMU
</t>
  </si>
  <si>
    <t>fail(102,103,104,106,107)</t>
  </si>
  <si>
    <t>22596-CM-017</t>
  </si>
  <si>
    <t>BANTUPALLI VENKATA SRI TEJA VARDHAN</t>
  </si>
  <si>
    <t>22596-CM-019</t>
  </si>
  <si>
    <t>BATTINA VARA GANESH</t>
  </si>
  <si>
    <t>fail(102,103,104,106)</t>
  </si>
  <si>
    <t>22596-CM-020</t>
  </si>
  <si>
    <t>BEJJIPURAM BHARAGAVA RAMUDU</t>
  </si>
  <si>
    <t>22596-CM-021</t>
  </si>
  <si>
    <t>BHUMIREDDI DEVI</t>
  </si>
  <si>
    <t>22596-CM-022</t>
  </si>
  <si>
    <t>BOBBILI RAMANANDAGIRI</t>
  </si>
  <si>
    <t>22596-CM-023</t>
  </si>
  <si>
    <t>BODDETI DEEPAK KUMAR</t>
  </si>
  <si>
    <t>fail((102,103,104,106)</t>
  </si>
  <si>
    <t>22596-CM-024</t>
  </si>
  <si>
    <t>BODDU  VISHWANTH</t>
  </si>
  <si>
    <t>22596-CM-025</t>
  </si>
  <si>
    <t xml:space="preserve">BOGADI LAVANYA </t>
  </si>
  <si>
    <t>22596-CM-026</t>
  </si>
  <si>
    <t>BOTCHA MANIKANTA</t>
  </si>
  <si>
    <t>22596-CM-027</t>
  </si>
  <si>
    <t>BUGATA BANDHAVI</t>
  </si>
  <si>
    <t>FAIL(103)</t>
  </si>
  <si>
    <t>22596-CM-028</t>
  </si>
  <si>
    <t>BYRISETTI KAMALESH</t>
  </si>
  <si>
    <t>22596-CM-029</t>
  </si>
  <si>
    <t>CHALLA NAGESWARA RAO</t>
  </si>
  <si>
    <t>22596-CM-030</t>
  </si>
  <si>
    <t>CHATLA NARASIMHULU</t>
  </si>
  <si>
    <t>22596-CM-031</t>
  </si>
  <si>
    <t>CHELUMURI JNANEAWARI</t>
  </si>
  <si>
    <t>22596-CM-032</t>
  </si>
  <si>
    <t>CHERAKAPU VINAY</t>
  </si>
  <si>
    <t>fail(103,106)</t>
  </si>
  <si>
    <t>22596-CM-033</t>
  </si>
  <si>
    <t>CHIKKALA ROHITH KUMAR</t>
  </si>
  <si>
    <t>fail(102,103)</t>
  </si>
  <si>
    <t>22596-CM-034</t>
  </si>
  <si>
    <t>CHIPPADA GAGAN SAI</t>
  </si>
  <si>
    <t>22596-CM-035</t>
  </si>
  <si>
    <t>CHOPPA BRAMANANI</t>
  </si>
  <si>
    <t>22596-CM-036</t>
  </si>
  <si>
    <t>CHOPPLA RAVI RAJU</t>
  </si>
  <si>
    <t>22596-CM-037</t>
  </si>
  <si>
    <t>DADI DHARAMA TEJA</t>
  </si>
  <si>
    <t>22596-CM-038</t>
  </si>
  <si>
    <t>DANDHI HARIPRIYA</t>
  </si>
  <si>
    <t>FAIL(101,102,103,104,105,106)</t>
  </si>
  <si>
    <t>22596-CM-039</t>
  </si>
  <si>
    <t>DHARMASULA SAI GOWRI SHANKAR VINOD</t>
  </si>
  <si>
    <t>22596-CM-040</t>
  </si>
  <si>
    <t xml:space="preserve">DOPPA PAVAN TEJA </t>
  </si>
  <si>
    <t>22596-CM-041</t>
  </si>
  <si>
    <t>DUDDU YUGANDHAR</t>
  </si>
  <si>
    <t>22596-CM-042</t>
  </si>
  <si>
    <t>EATI TEJESWARA RAO</t>
  </si>
  <si>
    <t>22596-CM-043</t>
  </si>
  <si>
    <t>EDABASULA JASWANTH KUMAR</t>
  </si>
  <si>
    <t>FAIL(102,103,106)</t>
  </si>
  <si>
    <t>22596-CM-044</t>
  </si>
  <si>
    <t>EETHALAPAKA DUSHYANTHUDU</t>
  </si>
  <si>
    <t>FAIL(102,103,104,105,106,107,111)</t>
  </si>
  <si>
    <t>22596-CM-045</t>
  </si>
  <si>
    <t>ELLIPILLI AJYA KUMAR</t>
  </si>
  <si>
    <t>FAIL(104,106)</t>
  </si>
  <si>
    <t>22596-CM-046</t>
  </si>
  <si>
    <t>EROTHI JAYA</t>
  </si>
  <si>
    <t>22596-CM-047</t>
  </si>
  <si>
    <t>GANDIPALLI SAI SURENDRA</t>
  </si>
  <si>
    <t>FAIL(102,103,104,105,106,107)</t>
  </si>
  <si>
    <t>22596-CM-048</t>
  </si>
  <si>
    <t>GANTAKURA AKSHAY GANESH</t>
  </si>
  <si>
    <t>22596-CM-049</t>
  </si>
  <si>
    <t xml:space="preserve">GANTYADA HARIKA </t>
  </si>
  <si>
    <t>22596-CM-050</t>
  </si>
  <si>
    <t>GANUGULA THARUN VENKATA SWAMI</t>
  </si>
  <si>
    <t>22596-CM-051</t>
  </si>
  <si>
    <t>GEDDAM JANARDHAN</t>
  </si>
  <si>
    <t>22596-CM-052</t>
  </si>
  <si>
    <t>GOGULA RAJESH</t>
  </si>
  <si>
    <t>FAIL(102,103,104,105,106)</t>
  </si>
  <si>
    <t>22596-CM-053</t>
  </si>
  <si>
    <t xml:space="preserve">GOKEDA HEMANTH </t>
  </si>
  <si>
    <t>22596-CM-054</t>
  </si>
  <si>
    <t>GOKEDA KAVYA PRIYA HARINI</t>
  </si>
  <si>
    <t>,106,107055</t>
  </si>
  <si>
    <t>22596-CM-055</t>
  </si>
  <si>
    <t>GOMPA JAYANTH</t>
  </si>
  <si>
    <t>22596-CM-056</t>
  </si>
  <si>
    <t>GONEDA SASI PRABHA</t>
  </si>
  <si>
    <t>22596-CM-057</t>
  </si>
  <si>
    <t>GOPASANA ANUSH KUMAR</t>
  </si>
  <si>
    <t>22596-CM-058</t>
  </si>
  <si>
    <t>GORAPALLI SRAVYA</t>
  </si>
  <si>
    <t>22596-CM-059</t>
  </si>
  <si>
    <t>GUDIVADA HARSHAVARDHAN</t>
  </si>
  <si>
    <t>22596-CM-060</t>
  </si>
  <si>
    <t>GUDIVADA VARALAKSHMI</t>
  </si>
  <si>
    <t>22596-CM-061</t>
  </si>
  <si>
    <t xml:space="preserve">GUDLA  BHUBAMESWAR </t>
  </si>
  <si>
    <t>22596-CM-062</t>
  </si>
  <si>
    <t>GUJJI PRAVALIKA</t>
  </si>
  <si>
    <t>22596-CM-063</t>
  </si>
  <si>
    <t>GUNDAPU NAVEEN</t>
  </si>
  <si>
    <t>22596-CM-064</t>
  </si>
  <si>
    <t>GUNTURU JAHNAVIVENKATA SAIPADMA RAMANI</t>
  </si>
  <si>
    <t>22596-CM-065</t>
  </si>
  <si>
    <t xml:space="preserve">GUNURU TULASI </t>
  </si>
  <si>
    <t>22596-CM-066</t>
  </si>
  <si>
    <t>GURAJAPU THARUN</t>
  </si>
  <si>
    <t xml:space="preserve">NAME OF THE STUDENT </t>
  </si>
  <si>
    <t>PERCENTAGE</t>
  </si>
  <si>
    <t>PIN NUMBER</t>
  </si>
  <si>
    <t>NAME</t>
  </si>
  <si>
    <t>22596-CM-067</t>
  </si>
  <si>
    <t>GURRALA HEMANTH</t>
  </si>
  <si>
    <t>22596-CM-068</t>
  </si>
  <si>
    <t>GUTTULA RAMA SAI AKHIL</t>
  </si>
  <si>
    <t>PASS</t>
  </si>
  <si>
    <t>22596-CM-069</t>
  </si>
  <si>
    <t>JAKKA SAI KRISHNA</t>
  </si>
  <si>
    <t>22596-CM-070</t>
  </si>
  <si>
    <t xml:space="preserve">  JALLEPALLI HARI PRASAD</t>
  </si>
  <si>
    <t>22596-CM-071</t>
  </si>
  <si>
    <t>JEERNAYANA MAHESH</t>
  </si>
  <si>
    <t>22596-CM-072</t>
  </si>
  <si>
    <t>JEGIREDDY YOGESH</t>
  </si>
  <si>
    <t>22596-CM-073</t>
  </si>
  <si>
    <t>JETTI JAYAVARDHAN</t>
  </si>
  <si>
    <t>FAIL(102,103,104)</t>
  </si>
  <si>
    <t>22596-CM-074</t>
  </si>
  <si>
    <t xml:space="preserve">  KAICHARLA UDAY SAI</t>
  </si>
  <si>
    <t>22596-CM-075</t>
  </si>
  <si>
    <t>KALLURI MANOJ</t>
  </si>
  <si>
    <t>22596-CM-076</t>
  </si>
  <si>
    <t>KAMMAVALASA BHARAT KARTEEK</t>
  </si>
  <si>
    <t>FAIL(102,103)</t>
  </si>
  <si>
    <t>22596-CM-077</t>
  </si>
  <si>
    <t xml:space="preserve"> KANAPAREDDY SAI MOHAN</t>
  </si>
  <si>
    <t>22596-CM-078</t>
  </si>
  <si>
    <t xml:space="preserve">  KANDULA VARSHINI</t>
  </si>
  <si>
    <t>22596-CM-079</t>
  </si>
  <si>
    <t>KARRI DASU</t>
  </si>
  <si>
    <t>22596-CM-080</t>
  </si>
  <si>
    <t>KARRI SWAPNA</t>
  </si>
  <si>
    <t>22596-CM-081</t>
  </si>
  <si>
    <t xml:space="preserve">  KARUKURI SHYAM KUMAR</t>
  </si>
  <si>
    <t>FAIL(102,103,104,105,106</t>
  </si>
  <si>
    <t>22596-CM-082</t>
  </si>
  <si>
    <t xml:space="preserve"> KODUKULLA V.K.PHANI KUMAR</t>
  </si>
  <si>
    <t>22596-CM-083</t>
  </si>
  <si>
    <t xml:space="preserve">  KOLUKULURI PRAVALLIKA</t>
  </si>
  <si>
    <t>22596-CM-084</t>
  </si>
  <si>
    <t>KOMIRISETTI SHIVA S.NAGENDRA</t>
  </si>
  <si>
    <t>FAIL(103,104,106)</t>
  </si>
  <si>
    <t>22596-CM-085</t>
  </si>
  <si>
    <t>KONDAPU LOKESH</t>
  </si>
  <si>
    <t>22596-CM-086</t>
  </si>
  <si>
    <t>KONDEPUDI RAJ KUMAR</t>
  </si>
  <si>
    <t>22596-CM-087</t>
  </si>
  <si>
    <t>KOPPARTHI DANIEL ABHISHEK</t>
  </si>
  <si>
    <t>22596-CM-088</t>
  </si>
  <si>
    <t>KOPPISETTI PRAJWAL</t>
  </si>
  <si>
    <t>22596-CM-089</t>
  </si>
  <si>
    <t xml:space="preserve">  KORIBILLI CHANDRIKA</t>
  </si>
  <si>
    <t>22596-CM-090</t>
  </si>
  <si>
    <t>KOTHA HARSHITHA</t>
  </si>
  <si>
    <t>FAIL(102)</t>
  </si>
  <si>
    <t>22596-CM-091</t>
  </si>
  <si>
    <t>KOTHAKOTLA DEVI PRASAD</t>
  </si>
  <si>
    <t>22596-CM-092</t>
  </si>
  <si>
    <t>KOTNI DURGA SANTHI</t>
  </si>
  <si>
    <t>22596-CM-093</t>
  </si>
  <si>
    <t>KOTTANA ROSHINI</t>
  </si>
  <si>
    <t>22596-CM-094</t>
  </si>
  <si>
    <t>KUBIREDDI SATYA PRASANTH</t>
  </si>
  <si>
    <t>22596-CM-095</t>
  </si>
  <si>
    <t>KUMBURI JYOSHNA</t>
  </si>
  <si>
    <t>22596-CM-096</t>
  </si>
  <si>
    <t>KURMANA V R S D SUHAS</t>
  </si>
  <si>
    <t>FAIL(103,104,105,106)</t>
  </si>
  <si>
    <t>22596-CM-097</t>
  </si>
  <si>
    <t>KURUMUJU RAJESH</t>
  </si>
  <si>
    <t>22596-CM-098</t>
  </si>
  <si>
    <t>KUSUMANCHI MANOJ KUMAR</t>
  </si>
  <si>
    <t>FAIL(102.103,104,105,106)</t>
  </si>
  <si>
    <t>22596-CM-099</t>
  </si>
  <si>
    <t>LATCHUBOTHU VISWANADH SAI</t>
  </si>
  <si>
    <t>22596-CM-100</t>
  </si>
  <si>
    <t>MADDU YAMINI</t>
  </si>
  <si>
    <t>22596-CM-101</t>
  </si>
  <si>
    <t>MADEM KIRAN</t>
  </si>
  <si>
    <t>22596-CM-102</t>
  </si>
  <si>
    <t>MAHANTHI KALPANA</t>
  </si>
  <si>
    <t>22596-CM-103</t>
  </si>
  <si>
    <t>MAHAPATHRO SAI DHANUSH</t>
  </si>
  <si>
    <t>22596-CM-104</t>
  </si>
  <si>
    <t>MAHAPATRO PRASANTH KUMAR</t>
  </si>
  <si>
    <t>22596-CM-105</t>
  </si>
  <si>
    <t>MAJJI JEEVAN SAI</t>
  </si>
  <si>
    <t>22596-CM-106</t>
  </si>
  <si>
    <t>MAKKENA BHARATH CHANDRA</t>
  </si>
  <si>
    <t>22596-CM-107</t>
  </si>
  <si>
    <t>MAMIDI RAKSHITHA</t>
  </si>
  <si>
    <t>22596-CM-108</t>
  </si>
  <si>
    <t>MANGU JAHNAVI</t>
  </si>
  <si>
    <t>22596-CM-109</t>
  </si>
  <si>
    <t>MANNE PAVAN TEJA</t>
  </si>
  <si>
    <t>22596-CM-110</t>
  </si>
  <si>
    <t>MAROJU SUKEERTHI SREE</t>
  </si>
  <si>
    <t>22596-CM-111</t>
  </si>
  <si>
    <t xml:space="preserve">  MERUGU DURYODHANA</t>
  </si>
  <si>
    <t>22596-CM-112</t>
  </si>
  <si>
    <t xml:space="preserve"> MIRTIPATI HASINEE</t>
  </si>
  <si>
    <t>22596-CM-113</t>
  </si>
  <si>
    <t xml:space="preserve">  MITHANA MADHURI</t>
  </si>
  <si>
    <t>22596-CM-114</t>
  </si>
  <si>
    <t>MOHAMMAD ARSHAD</t>
  </si>
  <si>
    <t>22596-CM-115</t>
  </si>
  <si>
    <t>MONINGI SATYA ROHITH</t>
  </si>
  <si>
    <t>22596-CM-116</t>
  </si>
  <si>
    <t>MUNAKALA KARTHIK</t>
  </si>
  <si>
    <t>22596-CM-117</t>
  </si>
  <si>
    <t>MYPALI LAKSHMI</t>
  </si>
  <si>
    <t>22596-CM-118</t>
  </si>
  <si>
    <t>NADUPURI VARDHAN SRIRAM</t>
  </si>
  <si>
    <t>FAIL(102,104,106)</t>
  </si>
  <si>
    <t>22596-CM-119</t>
  </si>
  <si>
    <t xml:space="preserve">  NADIPURI TEJA</t>
  </si>
  <si>
    <t>22596-CM-120</t>
  </si>
  <si>
    <t xml:space="preserve">  NAGALA VAGDEVI SAI VEEKSHITHA</t>
  </si>
  <si>
    <t>22596-CM-121</t>
  </si>
  <si>
    <t xml:space="preserve">  NAGAVARAPU MOHAN TEJA</t>
  </si>
  <si>
    <t>FAIL(103,102,104)</t>
  </si>
  <si>
    <t>22596-CM-122</t>
  </si>
  <si>
    <t>NAGISETTI.HARISH JAYA RAM</t>
  </si>
  <si>
    <t>22596-CM-123</t>
  </si>
  <si>
    <t xml:space="preserve">  NALLA RUPA VINAY</t>
  </si>
  <si>
    <t>22596-CM-124</t>
  </si>
  <si>
    <t xml:space="preserve">  NALLABELLI LAKSHMAN KUMAR</t>
  </si>
  <si>
    <t>22596-CM-125</t>
  </si>
  <si>
    <t>NANDA VENKATA S.SHEKARA BABI</t>
  </si>
  <si>
    <t>22596-CM-126</t>
  </si>
  <si>
    <t>NANDARAPU DINESH</t>
  </si>
  <si>
    <t>22596-CM-127</t>
  </si>
  <si>
    <t xml:space="preserve">  NARAM SRINU</t>
  </si>
  <si>
    <t>22596-CM-128</t>
  </si>
  <si>
    <t xml:space="preserve">  NARAVA SRI HARI KARTHIK</t>
  </si>
  <si>
    <t>22596-CM-129</t>
  </si>
  <si>
    <t>NARAVA SWETHA</t>
  </si>
  <si>
    <t>22596-CM-130</t>
  </si>
  <si>
    <t xml:space="preserve">  NEELAPU HARSHA VARDHAN REDDY</t>
  </si>
  <si>
    <t>22596-CM-131</t>
  </si>
  <si>
    <t>NERALLA DILLESWARA RAO</t>
  </si>
  <si>
    <t>22596-CM-132</t>
  </si>
  <si>
    <t>NOLLA CHOHANITHA</t>
  </si>
  <si>
    <t>total</t>
  </si>
  <si>
    <t>Percentage</t>
  </si>
  <si>
    <t>22596-cm-133</t>
  </si>
  <si>
    <t>O.lokesh</t>
  </si>
  <si>
    <t>F(102,103,104)</t>
  </si>
  <si>
    <t>22596-cm-134</t>
  </si>
  <si>
    <t>P.Ykuntarao</t>
  </si>
  <si>
    <t>22596-cm-135</t>
  </si>
  <si>
    <t>P.Gowthami</t>
  </si>
  <si>
    <t>22596-cm-136</t>
  </si>
  <si>
    <t>P.Jones</t>
  </si>
  <si>
    <t>F(105)</t>
  </si>
  <si>
    <t>22596-cm-137</t>
  </si>
  <si>
    <t>P.Jhansi</t>
  </si>
  <si>
    <t>22596-cm-138</t>
  </si>
  <si>
    <t>P.Harsha vardhan</t>
  </si>
  <si>
    <t>F(102)</t>
  </si>
  <si>
    <t>22596-cm-139</t>
  </si>
  <si>
    <t>p.usha rani</t>
  </si>
  <si>
    <t>22596-cm-140</t>
  </si>
  <si>
    <t>p.Dhamini</t>
  </si>
  <si>
    <t>F(102,103)</t>
  </si>
  <si>
    <t>22596-cm-141</t>
  </si>
  <si>
    <t>p.Dhanush</t>
  </si>
  <si>
    <t>F(102,103,106)</t>
  </si>
  <si>
    <t>22596-cm-142</t>
  </si>
  <si>
    <t>p.daswanth</t>
  </si>
  <si>
    <t>F(104)</t>
  </si>
  <si>
    <t>22596-cm-143</t>
  </si>
  <si>
    <t>p.Shanmukh</t>
  </si>
  <si>
    <t>22596-cm-144</t>
  </si>
  <si>
    <t>p.Karteek</t>
  </si>
  <si>
    <t>22596-cm-145</t>
  </si>
  <si>
    <t>p.haasini</t>
  </si>
  <si>
    <t>22596-cm-146</t>
  </si>
  <si>
    <t>p.Hashini</t>
  </si>
  <si>
    <t>F(101,102,103,104,106)</t>
  </si>
  <si>
    <t>22596-cm-147</t>
  </si>
  <si>
    <t>p.Dinesh</t>
  </si>
  <si>
    <t>22596-cm-148</t>
  </si>
  <si>
    <t>p.Sowmya</t>
  </si>
  <si>
    <t>22596-cm-149</t>
  </si>
  <si>
    <t>p.Karthikeya</t>
  </si>
  <si>
    <t>22596-cm-150</t>
  </si>
  <si>
    <t>p.Himesh</t>
  </si>
  <si>
    <t>22596-cm-151</t>
  </si>
  <si>
    <t>p.Bharathi</t>
  </si>
  <si>
    <t>22596-cm-152</t>
  </si>
  <si>
    <t>R.Niranjan</t>
  </si>
  <si>
    <t>22596-cm-153</t>
  </si>
  <si>
    <t>R.Navya</t>
  </si>
  <si>
    <t>F(102,104)</t>
  </si>
  <si>
    <t>22596-cm-154</t>
  </si>
  <si>
    <t>s.Lasya</t>
  </si>
  <si>
    <t>22596-cm-155</t>
  </si>
  <si>
    <t>s.Sai sasidhar</t>
  </si>
  <si>
    <t>22596-cm-156</t>
  </si>
  <si>
    <t>s.Sai sruthi</t>
  </si>
  <si>
    <t>22596-cm-157</t>
  </si>
  <si>
    <t>s.Sravani</t>
  </si>
  <si>
    <t>22596-cm-158</t>
  </si>
  <si>
    <t>s.Naga sri ganesh</t>
  </si>
  <si>
    <t>22596-cm-159</t>
  </si>
  <si>
    <t>s.Jaswanth</t>
  </si>
  <si>
    <t>22596-cm-160</t>
  </si>
  <si>
    <t>s.Teja swaroop</t>
  </si>
  <si>
    <t>F(102,103,104,106)</t>
  </si>
  <si>
    <t>22596-cm-161</t>
  </si>
  <si>
    <t>s.Durga bhavani</t>
  </si>
  <si>
    <t>F(103,104,102)</t>
  </si>
  <si>
    <t>22596-cm-162</t>
  </si>
  <si>
    <t>s.Govardhan</t>
  </si>
  <si>
    <t>F(101,102,103,104,105,106)</t>
  </si>
  <si>
    <t>22596-cm-163</t>
  </si>
  <si>
    <t>s.Koushik</t>
  </si>
  <si>
    <t>22596-cm-164</t>
  </si>
  <si>
    <t>s.Wasim akram</t>
  </si>
  <si>
    <t>22596-cm-165</t>
  </si>
  <si>
    <t>s.Prameela</t>
  </si>
  <si>
    <t>22596-cm-166</t>
  </si>
  <si>
    <t>s.Gagan raj</t>
  </si>
  <si>
    <t>F(102,103,104,105,106,107)</t>
  </si>
  <si>
    <t>22596-cm-167</t>
  </si>
  <si>
    <t>s.Swarna jyothi</t>
  </si>
  <si>
    <t>22596-cm-168</t>
  </si>
  <si>
    <t>s.Amrutha</t>
  </si>
  <si>
    <t>22596-cm-169</t>
  </si>
  <si>
    <t>s.Bangaru naidu</t>
  </si>
  <si>
    <t>F(103,104,105)</t>
  </si>
  <si>
    <t>22596-cm-170</t>
  </si>
  <si>
    <t>s.Varshini</t>
  </si>
  <si>
    <t>22596-cm-171</t>
  </si>
  <si>
    <t>s.Gnanesh</t>
  </si>
  <si>
    <t>22596-cm-172</t>
  </si>
  <si>
    <t>s.Aravind</t>
  </si>
  <si>
    <t>22596-cm-173</t>
  </si>
  <si>
    <t>s.Sravanthi</t>
  </si>
  <si>
    <t>F(103)</t>
  </si>
  <si>
    <t>22596-cm-174</t>
  </si>
  <si>
    <t>sudheer kumar</t>
  </si>
  <si>
    <t>22596-cm-175</t>
  </si>
  <si>
    <t>s.Durga prasasd</t>
  </si>
  <si>
    <t>F(102,103,104,107)</t>
  </si>
  <si>
    <t>22596-cm-176</t>
  </si>
  <si>
    <t>s.Pranathi</t>
  </si>
  <si>
    <t>22596-cm-177</t>
  </si>
  <si>
    <t>s.Hari priya yasawini</t>
  </si>
  <si>
    <t>22596-cm-178</t>
  </si>
  <si>
    <t>s.Lakshmana rao</t>
  </si>
  <si>
    <t>22596-cm-179</t>
  </si>
  <si>
    <t>t.Prasanth</t>
  </si>
  <si>
    <t>22596-cm-180</t>
  </si>
  <si>
    <t>t.Vidya sai</t>
  </si>
  <si>
    <t>F(102,103,104,105,106)</t>
  </si>
  <si>
    <t>22596-cm-181</t>
  </si>
  <si>
    <t>t.Vikram sai</t>
  </si>
  <si>
    <t>22596-cm-182</t>
  </si>
  <si>
    <t>t.Kusula sai latha</t>
  </si>
  <si>
    <t>22596-cm-183</t>
  </si>
  <si>
    <t>u.Harinadh</t>
  </si>
  <si>
    <t>22596-cm-184</t>
  </si>
  <si>
    <t>u.Hari harsha</t>
  </si>
  <si>
    <t>22596-cm-185</t>
  </si>
  <si>
    <t>u.Yeswanth</t>
  </si>
  <si>
    <t>22596-cm-186</t>
  </si>
  <si>
    <t>v.Mounika</t>
  </si>
  <si>
    <t>22596-cm-187</t>
  </si>
  <si>
    <t>v.Purna chandra rao</t>
  </si>
  <si>
    <t>F(103,104,106)</t>
  </si>
  <si>
    <t>22596-cm-188</t>
  </si>
  <si>
    <t>v.Akhil kumar</t>
  </si>
  <si>
    <t>22596-cm-189</t>
  </si>
  <si>
    <t>v.Devi charan</t>
  </si>
  <si>
    <t>22596-cm-190</t>
  </si>
  <si>
    <t>v.Sathwik</t>
  </si>
  <si>
    <t>22596-cm-191</t>
  </si>
  <si>
    <t>v.varun kumar</t>
  </si>
  <si>
    <t>22596-cm-192</t>
  </si>
  <si>
    <t>v.Rashmitha</t>
  </si>
  <si>
    <t>22596-cm-193</t>
  </si>
  <si>
    <t>v.Varun sai kumar</t>
  </si>
  <si>
    <t>22596-cm-194</t>
  </si>
  <si>
    <t>v.Sai sagar</t>
  </si>
  <si>
    <t>F(102,103,104,105)</t>
  </si>
  <si>
    <t>22596-cm-195</t>
  </si>
  <si>
    <t>v.Ramesh kumar</t>
  </si>
  <si>
    <t>22596-cm-196</t>
  </si>
  <si>
    <t>v.Karthik</t>
  </si>
  <si>
    <t>22596-cm-197</t>
  </si>
  <si>
    <t>y.Nikhil krishna</t>
  </si>
  <si>
    <t xml:space="preserve">     </t>
  </si>
  <si>
    <t>y.srujana</t>
  </si>
  <si>
    <t>2022-2023     1ST YEAR(CME3)</t>
  </si>
  <si>
    <t>22022-2023     1ST YEAR(CME2)</t>
  </si>
  <si>
    <t>2022-2023     1ST YEAR(CME1)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</si>
</sst>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mbria"/>
      <family val="1"/>
      <scheme val="major"/>
    </font>
    <font>
      <sz val="9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9" fontId="0" fillId="0" borderId="0" xfId="0" applyNumberFormat="1"/>
    <xf numFmtId="0" fontId="0" fillId="0" borderId="0" xfId="0"/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3" fontId="0" fillId="0" borderId="0" xfId="0" applyNumberFormat="1"/>
    <xf numFmtId="0" fontId="3" fillId="0" borderId="2" xfId="0" applyFont="1" applyFill="1" applyBorder="1" applyAlignment="1">
      <alignment vertical="center" wrapText="1"/>
    </xf>
    <xf numFmtId="9" fontId="0" fillId="0" borderId="0" xfId="0" applyNumberFormat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9" fontId="0" fillId="0" borderId="1" xfId="0" applyNumberForma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7"/>
  <sheetViews>
    <sheetView tabSelected="1" workbookViewId="0">
      <selection activeCell="P24" sqref="P24"/>
    </sheetView>
  </sheetViews>
  <sheetFormatPr defaultRowHeight="15"/>
  <cols>
    <col min="1" max="1" width="18.140625" customWidth="1"/>
    <col min="2" max="2" width="27.42578125" customWidth="1"/>
    <col min="15" max="15" width="16" style="2" customWidth="1"/>
    <col min="16" max="16" width="24.7109375" customWidth="1"/>
  </cols>
  <sheetData>
    <row r="1" spans="1:16">
      <c r="A1" s="18" t="s">
        <v>453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2" spans="1:16">
      <c r="A2" s="3" t="s">
        <v>0</v>
      </c>
      <c r="B2" s="3" t="s">
        <v>153</v>
      </c>
      <c r="C2" s="2">
        <v>101</v>
      </c>
      <c r="D2" s="2">
        <v>102</v>
      </c>
      <c r="E2" s="2">
        <v>103</v>
      </c>
      <c r="F2" s="2">
        <v>104</v>
      </c>
      <c r="G2" s="2">
        <v>105</v>
      </c>
      <c r="H2" s="2">
        <v>106</v>
      </c>
      <c r="I2" s="2">
        <v>107</v>
      </c>
      <c r="J2" s="2">
        <v>108</v>
      </c>
      <c r="K2" s="2">
        <v>109</v>
      </c>
      <c r="L2" s="2">
        <v>110</v>
      </c>
      <c r="M2" s="2">
        <v>111</v>
      </c>
      <c r="N2" s="2" t="s">
        <v>1</v>
      </c>
      <c r="O2" s="2" t="s">
        <v>154</v>
      </c>
      <c r="P2" s="2" t="s">
        <v>2</v>
      </c>
    </row>
    <row r="3" spans="1:16">
      <c r="A3" s="4" t="s">
        <v>3</v>
      </c>
      <c r="B3" s="4" t="s">
        <v>4</v>
      </c>
      <c r="C3" s="2">
        <v>83</v>
      </c>
      <c r="D3" s="2">
        <v>82</v>
      </c>
      <c r="E3" s="2">
        <v>65</v>
      </c>
      <c r="F3" s="2">
        <v>90</v>
      </c>
      <c r="G3" s="2">
        <v>86</v>
      </c>
      <c r="H3" s="2">
        <v>87</v>
      </c>
      <c r="I3" s="2">
        <v>94</v>
      </c>
      <c r="J3" s="2">
        <v>100</v>
      </c>
      <c r="K3" s="2">
        <v>49</v>
      </c>
      <c r="L3" s="2">
        <v>50</v>
      </c>
      <c r="M3" s="2">
        <v>100</v>
      </c>
      <c r="N3" s="2">
        <v>886</v>
      </c>
      <c r="O3" s="1">
        <f>(N3/1000)</f>
        <v>0.88600000000000001</v>
      </c>
      <c r="P3" s="2" t="s">
        <v>5</v>
      </c>
    </row>
    <row r="4" spans="1:16">
      <c r="A4" s="4" t="s">
        <v>6</v>
      </c>
      <c r="B4" s="4" t="s">
        <v>7</v>
      </c>
      <c r="C4" s="2">
        <v>79</v>
      </c>
      <c r="D4" s="2">
        <v>94</v>
      </c>
      <c r="E4" s="2">
        <v>75</v>
      </c>
      <c r="F4" s="2">
        <v>85</v>
      </c>
      <c r="G4" s="2">
        <v>80</v>
      </c>
      <c r="H4" s="2">
        <v>77</v>
      </c>
      <c r="I4" s="2">
        <v>87</v>
      </c>
      <c r="J4" s="2">
        <v>98</v>
      </c>
      <c r="K4" s="2">
        <v>50</v>
      </c>
      <c r="L4" s="2">
        <v>50</v>
      </c>
      <c r="M4" s="2">
        <v>100</v>
      </c>
      <c r="N4" s="2">
        <v>875</v>
      </c>
      <c r="O4" s="1">
        <f t="shared" ref="O4:O67" si="0">(N4/1000)</f>
        <v>0.875</v>
      </c>
      <c r="P4" s="2" t="s">
        <v>5</v>
      </c>
    </row>
    <row r="5" spans="1:16">
      <c r="A5" s="4" t="s">
        <v>8</v>
      </c>
      <c r="B5" s="4" t="s">
        <v>9</v>
      </c>
      <c r="C5" s="2">
        <v>66</v>
      </c>
      <c r="D5" s="2">
        <v>50</v>
      </c>
      <c r="E5" s="2">
        <v>24</v>
      </c>
      <c r="F5" s="2">
        <v>19</v>
      </c>
      <c r="G5" s="2">
        <v>63</v>
      </c>
      <c r="H5" s="2">
        <v>41</v>
      </c>
      <c r="I5" s="2">
        <v>79</v>
      </c>
      <c r="J5" s="2">
        <v>96</v>
      </c>
      <c r="K5" s="2">
        <v>43</v>
      </c>
      <c r="L5" s="2">
        <v>48</v>
      </c>
      <c r="M5" s="2">
        <v>98</v>
      </c>
      <c r="N5" s="2">
        <v>627</v>
      </c>
      <c r="O5" s="1">
        <f t="shared" si="0"/>
        <v>0.627</v>
      </c>
      <c r="P5" s="2" t="s">
        <v>10</v>
      </c>
    </row>
    <row r="6" spans="1:16">
      <c r="A6" s="4" t="s">
        <v>11</v>
      </c>
      <c r="B6" s="4" t="s">
        <v>12</v>
      </c>
      <c r="C6" s="2">
        <v>46</v>
      </c>
      <c r="D6" s="2">
        <v>15</v>
      </c>
      <c r="E6" s="2">
        <v>17</v>
      </c>
      <c r="F6" s="2">
        <v>9</v>
      </c>
      <c r="G6" s="2">
        <v>18</v>
      </c>
      <c r="H6" s="2">
        <v>39</v>
      </c>
      <c r="I6" s="2">
        <v>79</v>
      </c>
      <c r="J6" s="2">
        <v>92</v>
      </c>
      <c r="K6" s="2">
        <v>41</v>
      </c>
      <c r="L6" s="2">
        <v>42</v>
      </c>
      <c r="M6" s="2">
        <v>97</v>
      </c>
      <c r="N6" s="2">
        <v>495</v>
      </c>
      <c r="O6" s="1">
        <f t="shared" si="0"/>
        <v>0.495</v>
      </c>
      <c r="P6" s="2" t="s">
        <v>13</v>
      </c>
    </row>
    <row r="7" spans="1:16">
      <c r="A7" s="4" t="s">
        <v>14</v>
      </c>
      <c r="B7" s="4" t="s">
        <v>15</v>
      </c>
      <c r="C7" s="2">
        <v>63</v>
      </c>
      <c r="D7" s="2">
        <v>62</v>
      </c>
      <c r="E7" s="2">
        <v>40</v>
      </c>
      <c r="F7" s="2">
        <v>30</v>
      </c>
      <c r="G7" s="2">
        <v>74</v>
      </c>
      <c r="H7" s="2">
        <v>55</v>
      </c>
      <c r="I7" s="2">
        <v>77</v>
      </c>
      <c r="J7" s="2">
        <v>97</v>
      </c>
      <c r="K7" s="2">
        <v>47</v>
      </c>
      <c r="L7" s="2">
        <v>46</v>
      </c>
      <c r="M7" s="2">
        <v>98</v>
      </c>
      <c r="N7" s="2">
        <v>689</v>
      </c>
      <c r="O7" s="1">
        <f t="shared" si="0"/>
        <v>0.68899999999999995</v>
      </c>
      <c r="P7" s="2" t="s">
        <v>16</v>
      </c>
    </row>
    <row r="8" spans="1:16">
      <c r="A8" s="4" t="s">
        <v>17</v>
      </c>
      <c r="B8" s="4" t="s">
        <v>18</v>
      </c>
      <c r="C8" s="2">
        <v>49</v>
      </c>
      <c r="D8" s="2">
        <v>19</v>
      </c>
      <c r="E8" s="2">
        <v>40</v>
      </c>
      <c r="F8" s="2">
        <v>22</v>
      </c>
      <c r="G8" s="2">
        <v>36</v>
      </c>
      <c r="H8" s="2">
        <v>44</v>
      </c>
      <c r="I8" s="2">
        <v>52</v>
      </c>
      <c r="J8" s="2">
        <v>97</v>
      </c>
      <c r="K8" s="2">
        <v>43</v>
      </c>
      <c r="L8" s="2">
        <v>43</v>
      </c>
      <c r="M8" s="2">
        <v>97</v>
      </c>
      <c r="N8" s="2">
        <v>542</v>
      </c>
      <c r="O8" s="1">
        <f t="shared" si="0"/>
        <v>0.54200000000000004</v>
      </c>
      <c r="P8" s="2" t="s">
        <v>19</v>
      </c>
    </row>
    <row r="9" spans="1:16">
      <c r="A9" s="4" t="s">
        <v>20</v>
      </c>
      <c r="B9" s="4" t="s">
        <v>21</v>
      </c>
      <c r="C9" s="2">
        <v>52</v>
      </c>
      <c r="D9" s="2">
        <v>85</v>
      </c>
      <c r="E9" s="2">
        <v>76</v>
      </c>
      <c r="F9" s="2">
        <v>74</v>
      </c>
      <c r="G9" s="2">
        <v>73</v>
      </c>
      <c r="H9" s="2">
        <v>71</v>
      </c>
      <c r="I9" s="2">
        <v>91</v>
      </c>
      <c r="J9" s="2">
        <v>98</v>
      </c>
      <c r="K9" s="2">
        <v>49</v>
      </c>
      <c r="L9" s="2">
        <v>47</v>
      </c>
      <c r="M9" s="2">
        <v>99</v>
      </c>
      <c r="N9" s="2">
        <v>815</v>
      </c>
      <c r="O9" s="1">
        <f t="shared" si="0"/>
        <v>0.81499999999999995</v>
      </c>
      <c r="P9" s="2" t="s">
        <v>5</v>
      </c>
    </row>
    <row r="10" spans="1:16">
      <c r="A10" s="4" t="s">
        <v>22</v>
      </c>
      <c r="B10" s="4" t="s">
        <v>23</v>
      </c>
      <c r="C10" s="2">
        <v>65</v>
      </c>
      <c r="D10" s="2">
        <v>52</v>
      </c>
      <c r="E10" s="2">
        <v>36</v>
      </c>
      <c r="F10" s="2">
        <v>33</v>
      </c>
      <c r="G10" s="2">
        <v>71</v>
      </c>
      <c r="H10" s="2">
        <v>78</v>
      </c>
      <c r="I10" s="2">
        <v>92</v>
      </c>
      <c r="J10" s="2">
        <v>98</v>
      </c>
      <c r="K10" s="2">
        <v>50</v>
      </c>
      <c r="L10" s="2">
        <v>45</v>
      </c>
      <c r="M10" s="2">
        <v>97</v>
      </c>
      <c r="N10" s="2">
        <v>717</v>
      </c>
      <c r="O10" s="1">
        <f t="shared" si="0"/>
        <v>0.71699999999999997</v>
      </c>
      <c r="P10" s="5" t="s">
        <v>24</v>
      </c>
    </row>
    <row r="11" spans="1:16">
      <c r="A11" s="4" t="s">
        <v>25</v>
      </c>
      <c r="B11" s="4" t="s">
        <v>26</v>
      </c>
      <c r="C11" s="2">
        <v>64</v>
      </c>
      <c r="D11" s="2">
        <v>82</v>
      </c>
      <c r="E11" s="2">
        <v>52</v>
      </c>
      <c r="F11" s="2">
        <v>43</v>
      </c>
      <c r="G11" s="2">
        <v>62</v>
      </c>
      <c r="H11" s="2">
        <v>55</v>
      </c>
      <c r="I11" s="2">
        <v>96</v>
      </c>
      <c r="J11" s="2">
        <v>96</v>
      </c>
      <c r="K11" s="2">
        <v>47</v>
      </c>
      <c r="L11" s="2">
        <v>48</v>
      </c>
      <c r="M11" s="2">
        <v>99</v>
      </c>
      <c r="N11" s="2">
        <v>744</v>
      </c>
      <c r="O11" s="1">
        <f t="shared" si="0"/>
        <v>0.74399999999999999</v>
      </c>
      <c r="P11" s="2" t="s">
        <v>5</v>
      </c>
    </row>
    <row r="12" spans="1:16">
      <c r="A12" s="4" t="s">
        <v>27</v>
      </c>
      <c r="B12" s="4" t="s">
        <v>28</v>
      </c>
      <c r="C12" s="2">
        <v>63</v>
      </c>
      <c r="D12" s="2">
        <v>71</v>
      </c>
      <c r="E12" s="2">
        <v>31</v>
      </c>
      <c r="F12" s="2">
        <v>31</v>
      </c>
      <c r="G12" s="2">
        <v>73</v>
      </c>
      <c r="H12" s="2">
        <v>56</v>
      </c>
      <c r="I12" s="2">
        <v>97</v>
      </c>
      <c r="J12" s="2">
        <v>99</v>
      </c>
      <c r="K12" s="2">
        <v>46</v>
      </c>
      <c r="L12" s="2">
        <v>50</v>
      </c>
      <c r="M12" s="2">
        <v>100</v>
      </c>
      <c r="N12" s="2">
        <v>717</v>
      </c>
      <c r="O12" s="1">
        <f t="shared" si="0"/>
        <v>0.71699999999999997</v>
      </c>
      <c r="P12" s="2" t="s">
        <v>10</v>
      </c>
    </row>
    <row r="13" spans="1:16">
      <c r="A13" s="4" t="s">
        <v>29</v>
      </c>
      <c r="B13" s="4" t="s">
        <v>30</v>
      </c>
      <c r="C13" s="2">
        <v>70</v>
      </c>
      <c r="D13" s="2">
        <v>97</v>
      </c>
      <c r="E13" s="2">
        <v>88</v>
      </c>
      <c r="F13" s="2">
        <v>82</v>
      </c>
      <c r="G13" s="2">
        <v>74</v>
      </c>
      <c r="H13" s="2">
        <v>90</v>
      </c>
      <c r="I13" s="2">
        <v>92</v>
      </c>
      <c r="J13" s="2">
        <v>100</v>
      </c>
      <c r="K13" s="2">
        <v>50</v>
      </c>
      <c r="L13" s="2">
        <v>50</v>
      </c>
      <c r="M13" s="2">
        <v>100</v>
      </c>
      <c r="N13" s="2">
        <v>893</v>
      </c>
      <c r="O13" s="1">
        <f t="shared" si="0"/>
        <v>0.89300000000000002</v>
      </c>
      <c r="P13" s="2" t="s">
        <v>5</v>
      </c>
    </row>
    <row r="14" spans="1:16">
      <c r="A14" s="4" t="s">
        <v>31</v>
      </c>
      <c r="B14" s="4" t="s">
        <v>32</v>
      </c>
      <c r="C14" s="2">
        <v>71</v>
      </c>
      <c r="D14" s="2">
        <v>70</v>
      </c>
      <c r="E14" s="2">
        <v>43</v>
      </c>
      <c r="F14" s="2">
        <v>33</v>
      </c>
      <c r="G14" s="2">
        <v>46</v>
      </c>
      <c r="H14" s="2">
        <v>51</v>
      </c>
      <c r="I14" s="2">
        <v>92</v>
      </c>
      <c r="J14" s="2">
        <v>97</v>
      </c>
      <c r="K14" s="2">
        <v>45</v>
      </c>
      <c r="L14" s="2">
        <v>48</v>
      </c>
      <c r="M14" s="2">
        <v>100</v>
      </c>
      <c r="N14" s="2">
        <v>696</v>
      </c>
      <c r="O14" s="1">
        <f t="shared" si="0"/>
        <v>0.69599999999999995</v>
      </c>
      <c r="P14" s="2" t="s">
        <v>5</v>
      </c>
    </row>
    <row r="15" spans="1:16">
      <c r="A15" s="4" t="s">
        <v>33</v>
      </c>
      <c r="B15" s="4" t="s">
        <v>34</v>
      </c>
      <c r="C15" s="2">
        <v>63</v>
      </c>
      <c r="D15" s="2">
        <v>57</v>
      </c>
      <c r="E15" s="2">
        <v>45</v>
      </c>
      <c r="F15" s="2">
        <v>43</v>
      </c>
      <c r="G15" s="2">
        <v>41</v>
      </c>
      <c r="H15" s="2">
        <v>47</v>
      </c>
      <c r="I15" s="2">
        <v>78</v>
      </c>
      <c r="J15" s="2">
        <v>96</v>
      </c>
      <c r="K15" s="2">
        <v>47</v>
      </c>
      <c r="L15" s="2">
        <v>47</v>
      </c>
      <c r="M15" s="2">
        <v>99</v>
      </c>
      <c r="N15" s="2">
        <v>663</v>
      </c>
      <c r="O15" s="1">
        <f t="shared" si="0"/>
        <v>0.66300000000000003</v>
      </c>
      <c r="P15" s="2" t="s">
        <v>5</v>
      </c>
    </row>
    <row r="16" spans="1:16">
      <c r="A16" s="4" t="s">
        <v>35</v>
      </c>
      <c r="B16" s="4" t="s">
        <v>36</v>
      </c>
      <c r="C16" s="2">
        <v>62</v>
      </c>
      <c r="D16" s="2">
        <v>53</v>
      </c>
      <c r="E16" s="2">
        <v>61</v>
      </c>
      <c r="F16" s="2">
        <v>45</v>
      </c>
      <c r="G16" s="2">
        <v>38</v>
      </c>
      <c r="H16" s="2">
        <v>45</v>
      </c>
      <c r="I16" s="2">
        <v>81</v>
      </c>
      <c r="J16" s="2">
        <v>94</v>
      </c>
      <c r="K16" s="2">
        <v>47</v>
      </c>
      <c r="L16" s="2">
        <v>44</v>
      </c>
      <c r="M16" s="2">
        <v>97</v>
      </c>
      <c r="N16" s="2">
        <v>667</v>
      </c>
      <c r="O16" s="1">
        <f t="shared" si="0"/>
        <v>0.66700000000000004</v>
      </c>
      <c r="P16" s="2" t="s">
        <v>5</v>
      </c>
    </row>
    <row r="17" spans="1:16">
      <c r="A17" s="4" t="s">
        <v>37</v>
      </c>
      <c r="B17" s="4" t="s">
        <v>38</v>
      </c>
      <c r="C17" s="2">
        <v>62</v>
      </c>
      <c r="D17" s="2">
        <v>21</v>
      </c>
      <c r="E17" s="2">
        <v>28</v>
      </c>
      <c r="F17" s="2">
        <v>27</v>
      </c>
      <c r="G17" s="2">
        <v>49</v>
      </c>
      <c r="H17" s="2">
        <v>31</v>
      </c>
      <c r="I17" s="2">
        <v>77</v>
      </c>
      <c r="J17" s="2">
        <v>95</v>
      </c>
      <c r="K17" s="2">
        <v>42</v>
      </c>
      <c r="L17" s="2">
        <v>46</v>
      </c>
      <c r="M17" s="2">
        <v>99</v>
      </c>
      <c r="N17" s="2">
        <v>577</v>
      </c>
      <c r="O17" s="1">
        <f t="shared" si="0"/>
        <v>0.57699999999999996</v>
      </c>
      <c r="P17" s="2" t="s">
        <v>39</v>
      </c>
    </row>
    <row r="18" spans="1:16" ht="24">
      <c r="A18" s="4" t="s">
        <v>40</v>
      </c>
      <c r="B18" s="4" t="s">
        <v>41</v>
      </c>
      <c r="C18" s="2">
        <v>62</v>
      </c>
      <c r="D18" s="2">
        <v>15</v>
      </c>
      <c r="E18" s="2">
        <v>17</v>
      </c>
      <c r="F18" s="2">
        <v>9</v>
      </c>
      <c r="G18" s="2">
        <v>37</v>
      </c>
      <c r="H18" s="2">
        <v>26</v>
      </c>
      <c r="I18" s="2">
        <v>55</v>
      </c>
      <c r="J18" s="2">
        <v>92</v>
      </c>
      <c r="K18" s="2">
        <v>41</v>
      </c>
      <c r="L18" s="2">
        <v>43</v>
      </c>
      <c r="M18" s="2">
        <v>97</v>
      </c>
      <c r="N18" s="2">
        <v>494</v>
      </c>
      <c r="O18" s="1">
        <f t="shared" si="0"/>
        <v>0.49399999999999999</v>
      </c>
      <c r="P18" s="2" t="s">
        <v>42</v>
      </c>
    </row>
    <row r="19" spans="1:16" ht="24">
      <c r="A19" s="4" t="s">
        <v>43</v>
      </c>
      <c r="B19" s="4" t="s">
        <v>44</v>
      </c>
      <c r="C19" s="2">
        <v>73</v>
      </c>
      <c r="D19" s="2">
        <v>17</v>
      </c>
      <c r="E19" s="2">
        <v>15</v>
      </c>
      <c r="F19" s="2">
        <v>23</v>
      </c>
      <c r="G19" s="2">
        <v>47</v>
      </c>
      <c r="H19" s="2">
        <v>18</v>
      </c>
      <c r="I19" s="2">
        <v>50</v>
      </c>
      <c r="J19" s="2">
        <v>92</v>
      </c>
      <c r="K19" s="2">
        <v>41</v>
      </c>
      <c r="L19" s="2">
        <v>43</v>
      </c>
      <c r="M19" s="2">
        <v>97</v>
      </c>
      <c r="N19" s="2">
        <v>516</v>
      </c>
      <c r="O19" s="1">
        <f t="shared" si="0"/>
        <v>0.51600000000000001</v>
      </c>
      <c r="P19" s="2" t="s">
        <v>42</v>
      </c>
    </row>
    <row r="20" spans="1:16">
      <c r="A20" s="4" t="s">
        <v>45</v>
      </c>
      <c r="B20" s="4" t="s">
        <v>46</v>
      </c>
      <c r="C20" s="2">
        <v>42</v>
      </c>
      <c r="D20" s="2">
        <v>20</v>
      </c>
      <c r="E20" s="2">
        <v>13</v>
      </c>
      <c r="F20" s="2">
        <v>14</v>
      </c>
      <c r="G20" s="2">
        <v>35</v>
      </c>
      <c r="H20" s="2">
        <v>15</v>
      </c>
      <c r="I20" s="2">
        <v>74</v>
      </c>
      <c r="J20" s="2">
        <v>93</v>
      </c>
      <c r="K20" s="2">
        <v>41</v>
      </c>
      <c r="L20" s="2">
        <v>45</v>
      </c>
      <c r="M20" s="2">
        <v>97</v>
      </c>
      <c r="N20" s="2">
        <v>489</v>
      </c>
      <c r="O20" s="1">
        <f t="shared" si="0"/>
        <v>0.48899999999999999</v>
      </c>
      <c r="P20" s="2" t="s">
        <v>47</v>
      </c>
    </row>
    <row r="21" spans="1:16" ht="24">
      <c r="A21" s="4" t="s">
        <v>48</v>
      </c>
      <c r="B21" s="4" t="s">
        <v>49</v>
      </c>
      <c r="C21" s="2">
        <v>87</v>
      </c>
      <c r="D21" s="2">
        <v>94</v>
      </c>
      <c r="E21" s="2">
        <v>83</v>
      </c>
      <c r="F21" s="2">
        <v>84</v>
      </c>
      <c r="G21" s="2">
        <v>95</v>
      </c>
      <c r="H21" s="2">
        <v>95</v>
      </c>
      <c r="I21" s="2">
        <v>98</v>
      </c>
      <c r="J21" s="2">
        <v>100</v>
      </c>
      <c r="K21" s="2">
        <v>45</v>
      </c>
      <c r="L21" s="2">
        <v>50</v>
      </c>
      <c r="M21" s="2">
        <v>100</v>
      </c>
      <c r="N21" s="2">
        <v>931</v>
      </c>
      <c r="O21" s="1">
        <f t="shared" si="0"/>
        <v>0.93100000000000005</v>
      </c>
      <c r="P21" s="2" t="s">
        <v>5</v>
      </c>
    </row>
    <row r="22" spans="1:16">
      <c r="A22" s="4" t="s">
        <v>50</v>
      </c>
      <c r="B22" s="4" t="s">
        <v>51</v>
      </c>
      <c r="C22" s="2">
        <v>78</v>
      </c>
      <c r="D22" s="2">
        <v>94</v>
      </c>
      <c r="E22" s="2">
        <v>71</v>
      </c>
      <c r="F22" s="2">
        <v>78</v>
      </c>
      <c r="G22" s="2">
        <v>72</v>
      </c>
      <c r="H22" s="2">
        <v>59</v>
      </c>
      <c r="I22" s="2">
        <v>92</v>
      </c>
      <c r="J22" s="2">
        <v>99</v>
      </c>
      <c r="K22" s="2">
        <v>50</v>
      </c>
      <c r="L22" s="2">
        <v>50</v>
      </c>
      <c r="M22" s="2">
        <v>100</v>
      </c>
      <c r="N22" s="2">
        <v>843</v>
      </c>
      <c r="O22" s="1">
        <f t="shared" si="0"/>
        <v>0.84299999999999997</v>
      </c>
      <c r="P22" s="2" t="s">
        <v>5</v>
      </c>
    </row>
    <row r="23" spans="1:16">
      <c r="A23" s="4" t="s">
        <v>52</v>
      </c>
      <c r="B23" s="4" t="s">
        <v>53</v>
      </c>
      <c r="C23" s="2">
        <v>49</v>
      </c>
      <c r="D23" s="2">
        <v>74</v>
      </c>
      <c r="E23" s="2">
        <v>66</v>
      </c>
      <c r="F23" s="2">
        <v>63</v>
      </c>
      <c r="G23" s="2">
        <v>52</v>
      </c>
      <c r="H23" s="2">
        <v>55</v>
      </c>
      <c r="I23" s="2">
        <v>93</v>
      </c>
      <c r="J23" s="2">
        <v>98</v>
      </c>
      <c r="K23" s="2">
        <v>49</v>
      </c>
      <c r="L23" s="2">
        <v>48</v>
      </c>
      <c r="M23" s="2">
        <v>100</v>
      </c>
      <c r="N23" s="2">
        <v>747</v>
      </c>
      <c r="O23" s="1">
        <f t="shared" si="0"/>
        <v>0.747</v>
      </c>
      <c r="P23" s="2" t="s">
        <v>5</v>
      </c>
    </row>
    <row r="24" spans="1:16">
      <c r="A24" s="4" t="s">
        <v>54</v>
      </c>
      <c r="B24" s="4" t="s">
        <v>55</v>
      </c>
      <c r="C24" s="2">
        <v>59</v>
      </c>
      <c r="D24" s="2">
        <v>30</v>
      </c>
      <c r="E24" s="2">
        <v>19</v>
      </c>
      <c r="F24" s="2">
        <v>15</v>
      </c>
      <c r="G24" s="2">
        <v>37</v>
      </c>
      <c r="H24" s="2">
        <v>15</v>
      </c>
      <c r="I24" s="2">
        <v>82</v>
      </c>
      <c r="J24" s="2">
        <v>96</v>
      </c>
      <c r="K24" s="2">
        <v>46</v>
      </c>
      <c r="L24" s="2">
        <v>46</v>
      </c>
      <c r="M24" s="2">
        <v>99</v>
      </c>
      <c r="N24" s="2">
        <v>544</v>
      </c>
      <c r="O24" s="1">
        <f t="shared" si="0"/>
        <v>0.54400000000000004</v>
      </c>
      <c r="P24" s="2" t="s">
        <v>56</v>
      </c>
    </row>
    <row r="25" spans="1:16">
      <c r="A25" s="4" t="s">
        <v>57</v>
      </c>
      <c r="B25" s="4" t="s">
        <v>58</v>
      </c>
      <c r="C25" s="2">
        <v>43</v>
      </c>
      <c r="D25" s="2">
        <v>46</v>
      </c>
      <c r="E25" s="2">
        <v>14</v>
      </c>
      <c r="F25" s="2">
        <v>16</v>
      </c>
      <c r="G25" s="2">
        <v>45</v>
      </c>
      <c r="H25" s="2">
        <v>38</v>
      </c>
      <c r="I25" s="2">
        <v>78</v>
      </c>
      <c r="J25" s="2">
        <v>93</v>
      </c>
      <c r="K25" s="2">
        <v>43</v>
      </c>
      <c r="L25" s="2">
        <v>44</v>
      </c>
      <c r="M25" s="2">
        <v>97</v>
      </c>
      <c r="N25" s="2">
        <v>557</v>
      </c>
      <c r="O25" s="1">
        <f t="shared" si="0"/>
        <v>0.55700000000000005</v>
      </c>
      <c r="P25" s="2" t="s">
        <v>24</v>
      </c>
    </row>
    <row r="26" spans="1:16">
      <c r="A26" s="4" t="s">
        <v>59</v>
      </c>
      <c r="B26" s="4" t="s">
        <v>60</v>
      </c>
      <c r="C26" s="2">
        <v>72</v>
      </c>
      <c r="D26" s="2">
        <v>100</v>
      </c>
      <c r="E26" s="2">
        <v>94</v>
      </c>
      <c r="F26" s="2">
        <v>87</v>
      </c>
      <c r="G26" s="2">
        <v>98</v>
      </c>
      <c r="H26" s="2">
        <v>88</v>
      </c>
      <c r="I26" s="2">
        <v>99</v>
      </c>
      <c r="J26" s="2">
        <v>100</v>
      </c>
      <c r="K26" s="2">
        <v>46</v>
      </c>
      <c r="L26" s="2">
        <v>50</v>
      </c>
      <c r="M26" s="2">
        <v>100</v>
      </c>
      <c r="N26" s="2">
        <v>934</v>
      </c>
      <c r="O26" s="1">
        <f t="shared" si="0"/>
        <v>0.93400000000000005</v>
      </c>
      <c r="P26" s="2" t="s">
        <v>5</v>
      </c>
    </row>
    <row r="27" spans="1:16">
      <c r="A27" s="4" t="s">
        <v>61</v>
      </c>
      <c r="B27" s="4" t="s">
        <v>62</v>
      </c>
      <c r="C27" s="2">
        <v>52</v>
      </c>
      <c r="D27" s="2">
        <v>70</v>
      </c>
      <c r="E27" s="2">
        <v>41</v>
      </c>
      <c r="F27" s="2">
        <v>56</v>
      </c>
      <c r="G27" s="2">
        <v>65</v>
      </c>
      <c r="H27" s="2">
        <v>50</v>
      </c>
      <c r="I27" s="2">
        <v>79</v>
      </c>
      <c r="J27" s="2">
        <v>94</v>
      </c>
      <c r="K27" s="2">
        <v>45</v>
      </c>
      <c r="L27" s="2">
        <v>47</v>
      </c>
      <c r="M27" s="2">
        <v>99</v>
      </c>
      <c r="N27" s="2">
        <v>701</v>
      </c>
      <c r="O27" s="1">
        <f t="shared" si="0"/>
        <v>0.70099999999999996</v>
      </c>
      <c r="P27" s="2" t="s">
        <v>5</v>
      </c>
    </row>
    <row r="28" spans="1:16">
      <c r="A28" s="4" t="s">
        <v>63</v>
      </c>
      <c r="B28" s="4" t="s">
        <v>64</v>
      </c>
      <c r="C28" s="2">
        <v>70</v>
      </c>
      <c r="D28" s="2">
        <v>94</v>
      </c>
      <c r="E28" s="2">
        <v>37</v>
      </c>
      <c r="F28" s="2">
        <v>59</v>
      </c>
      <c r="G28" s="2">
        <v>39</v>
      </c>
      <c r="H28" s="2">
        <v>40</v>
      </c>
      <c r="I28" s="2">
        <v>90</v>
      </c>
      <c r="J28" s="2">
        <v>95</v>
      </c>
      <c r="K28" s="2">
        <v>50</v>
      </c>
      <c r="L28" s="2">
        <v>50</v>
      </c>
      <c r="M28" s="2">
        <v>100</v>
      </c>
      <c r="N28" s="2">
        <v>724</v>
      </c>
      <c r="O28" s="1">
        <f t="shared" si="0"/>
        <v>0.72399999999999998</v>
      </c>
      <c r="P28" s="2" t="s">
        <v>65</v>
      </c>
    </row>
    <row r="29" spans="1:16">
      <c r="A29" s="4" t="s">
        <v>66</v>
      </c>
      <c r="B29" s="4" t="s">
        <v>67</v>
      </c>
      <c r="C29" s="2">
        <v>74</v>
      </c>
      <c r="D29" s="2">
        <v>27</v>
      </c>
      <c r="E29" s="2">
        <v>18</v>
      </c>
      <c r="F29" s="2">
        <v>14</v>
      </c>
      <c r="G29" s="2">
        <v>65</v>
      </c>
      <c r="H29" s="2">
        <v>26</v>
      </c>
      <c r="I29" s="2">
        <v>88</v>
      </c>
      <c r="J29" s="2">
        <v>95</v>
      </c>
      <c r="K29" s="2">
        <v>47</v>
      </c>
      <c r="L29" s="2">
        <v>44</v>
      </c>
      <c r="M29" s="2">
        <v>97</v>
      </c>
      <c r="N29" s="2">
        <v>595</v>
      </c>
      <c r="O29" s="1">
        <f t="shared" si="0"/>
        <v>0.59499999999999997</v>
      </c>
      <c r="P29" s="2" t="s">
        <v>47</v>
      </c>
    </row>
    <row r="30" spans="1:16">
      <c r="A30" s="4" t="s">
        <v>68</v>
      </c>
      <c r="B30" s="4" t="s">
        <v>69</v>
      </c>
      <c r="C30" s="2">
        <v>53</v>
      </c>
      <c r="D30" s="2">
        <v>44</v>
      </c>
      <c r="E30" s="2">
        <v>32</v>
      </c>
      <c r="F30" s="2">
        <v>22</v>
      </c>
      <c r="G30" s="2">
        <v>45</v>
      </c>
      <c r="H30" s="2">
        <v>47</v>
      </c>
      <c r="I30" s="2">
        <v>86</v>
      </c>
      <c r="J30" s="2">
        <v>96</v>
      </c>
      <c r="K30" s="2">
        <v>42</v>
      </c>
      <c r="L30" s="2">
        <v>44</v>
      </c>
      <c r="M30" s="2">
        <v>97</v>
      </c>
      <c r="N30" s="2">
        <v>608</v>
      </c>
      <c r="O30" s="1">
        <f t="shared" si="0"/>
        <v>0.60799999999999998</v>
      </c>
      <c r="P30" s="2" t="s">
        <v>24</v>
      </c>
    </row>
    <row r="31" spans="1:16">
      <c r="A31" s="4" t="s">
        <v>70</v>
      </c>
      <c r="B31" s="4" t="s">
        <v>71</v>
      </c>
      <c r="C31" s="2">
        <v>71</v>
      </c>
      <c r="D31" s="2">
        <v>70</v>
      </c>
      <c r="E31" s="2">
        <v>65</v>
      </c>
      <c r="F31" s="2">
        <v>58</v>
      </c>
      <c r="G31" s="2">
        <v>74</v>
      </c>
      <c r="H31" s="2">
        <v>85</v>
      </c>
      <c r="I31" s="2">
        <v>92</v>
      </c>
      <c r="J31" s="2">
        <v>96</v>
      </c>
      <c r="K31" s="2">
        <v>50</v>
      </c>
      <c r="L31" s="2">
        <v>48</v>
      </c>
      <c r="M31" s="2">
        <v>99</v>
      </c>
      <c r="N31" s="2">
        <v>808</v>
      </c>
      <c r="O31" s="1">
        <f t="shared" si="0"/>
        <v>0.80800000000000005</v>
      </c>
      <c r="P31" s="2" t="s">
        <v>5</v>
      </c>
    </row>
    <row r="32" spans="1:16">
      <c r="A32" s="4" t="s">
        <v>72</v>
      </c>
      <c r="B32" s="4" t="s">
        <v>73</v>
      </c>
      <c r="C32" s="2">
        <v>57</v>
      </c>
      <c r="D32" s="2">
        <v>84</v>
      </c>
      <c r="E32" s="2">
        <v>46</v>
      </c>
      <c r="F32" s="2">
        <v>42</v>
      </c>
      <c r="G32" s="2">
        <v>50</v>
      </c>
      <c r="H32" s="2">
        <v>60</v>
      </c>
      <c r="I32" s="2">
        <v>99</v>
      </c>
      <c r="J32" s="2">
        <v>94</v>
      </c>
      <c r="K32" s="2">
        <v>47</v>
      </c>
      <c r="L32" s="2">
        <v>50</v>
      </c>
      <c r="M32" s="2">
        <v>100</v>
      </c>
      <c r="N32" s="2">
        <v>729</v>
      </c>
      <c r="O32" s="1">
        <f t="shared" si="0"/>
        <v>0.72899999999999998</v>
      </c>
      <c r="P32" s="2" t="s">
        <v>5</v>
      </c>
    </row>
    <row r="33" spans="1:16">
      <c r="A33" s="4" t="s">
        <v>74</v>
      </c>
      <c r="B33" s="4" t="s">
        <v>75</v>
      </c>
      <c r="C33" s="2">
        <v>53</v>
      </c>
      <c r="D33" s="2">
        <v>43</v>
      </c>
      <c r="E33" s="2">
        <v>16</v>
      </c>
      <c r="F33" s="2">
        <v>36</v>
      </c>
      <c r="G33" s="2">
        <v>35</v>
      </c>
      <c r="H33" s="2">
        <v>14</v>
      </c>
      <c r="I33" s="2">
        <v>79</v>
      </c>
      <c r="J33" s="2">
        <v>95</v>
      </c>
      <c r="K33" s="2">
        <v>44</v>
      </c>
      <c r="L33" s="2">
        <v>46</v>
      </c>
      <c r="M33" s="2">
        <v>99</v>
      </c>
      <c r="N33" s="2">
        <v>560</v>
      </c>
      <c r="O33" s="1">
        <f t="shared" si="0"/>
        <v>0.56000000000000005</v>
      </c>
      <c r="P33" s="2" t="s">
        <v>76</v>
      </c>
    </row>
    <row r="34" spans="1:16">
      <c r="A34" s="4" t="s">
        <v>77</v>
      </c>
      <c r="B34" s="4" t="s">
        <v>78</v>
      </c>
      <c r="C34" s="2">
        <v>84</v>
      </c>
      <c r="D34" s="2">
        <v>33</v>
      </c>
      <c r="E34" s="2">
        <v>18</v>
      </c>
      <c r="F34" s="2">
        <v>50</v>
      </c>
      <c r="G34" s="2">
        <v>56</v>
      </c>
      <c r="H34" s="2">
        <v>43</v>
      </c>
      <c r="I34" s="2">
        <v>70</v>
      </c>
      <c r="J34" s="2">
        <v>98</v>
      </c>
      <c r="K34" s="2">
        <v>44</v>
      </c>
      <c r="L34" s="2">
        <v>44</v>
      </c>
      <c r="M34" s="2">
        <v>97</v>
      </c>
      <c r="N34" s="2">
        <v>637</v>
      </c>
      <c r="O34" s="1">
        <f t="shared" si="0"/>
        <v>0.63700000000000001</v>
      </c>
      <c r="P34" s="2" t="s">
        <v>79</v>
      </c>
    </row>
    <row r="35" spans="1:16">
      <c r="A35" s="4" t="s">
        <v>80</v>
      </c>
      <c r="B35" s="4" t="s">
        <v>81</v>
      </c>
      <c r="C35" s="2">
        <v>54</v>
      </c>
      <c r="D35" s="2">
        <v>36</v>
      </c>
      <c r="E35" s="2">
        <v>16</v>
      </c>
      <c r="F35" s="2">
        <v>26</v>
      </c>
      <c r="G35" s="2">
        <v>65</v>
      </c>
      <c r="H35" s="2">
        <v>10</v>
      </c>
      <c r="I35" s="2">
        <v>67</v>
      </c>
      <c r="J35" s="2">
        <v>95</v>
      </c>
      <c r="K35" s="2">
        <v>41</v>
      </c>
      <c r="L35" s="2">
        <v>44</v>
      </c>
      <c r="M35" s="2">
        <v>97</v>
      </c>
      <c r="N35" s="2">
        <v>551</v>
      </c>
      <c r="O35" s="1">
        <f t="shared" si="0"/>
        <v>0.55100000000000005</v>
      </c>
      <c r="P35" s="2" t="s">
        <v>24</v>
      </c>
    </row>
    <row r="36" spans="1:16">
      <c r="A36" s="4" t="s">
        <v>82</v>
      </c>
      <c r="B36" s="4" t="s">
        <v>83</v>
      </c>
      <c r="C36" s="2">
        <v>75</v>
      </c>
      <c r="D36" s="2">
        <v>64</v>
      </c>
      <c r="E36" s="2">
        <v>57</v>
      </c>
      <c r="F36" s="2">
        <v>71</v>
      </c>
      <c r="G36" s="2">
        <v>67</v>
      </c>
      <c r="H36" s="2">
        <v>58</v>
      </c>
      <c r="I36" s="2">
        <v>81</v>
      </c>
      <c r="J36" s="2">
        <v>97</v>
      </c>
      <c r="K36" s="2">
        <v>49</v>
      </c>
      <c r="L36" s="2">
        <v>47</v>
      </c>
      <c r="M36" s="2">
        <v>99</v>
      </c>
      <c r="N36" s="2">
        <v>765</v>
      </c>
      <c r="O36" s="1">
        <f t="shared" si="0"/>
        <v>0.76500000000000001</v>
      </c>
      <c r="P36" s="2" t="s">
        <v>5</v>
      </c>
    </row>
    <row r="37" spans="1:16">
      <c r="A37" s="4" t="s">
        <v>84</v>
      </c>
      <c r="B37" s="4" t="s">
        <v>85</v>
      </c>
      <c r="C37" s="2">
        <v>58</v>
      </c>
      <c r="D37" s="2">
        <v>44</v>
      </c>
      <c r="E37" s="2">
        <v>44</v>
      </c>
      <c r="F37" s="2">
        <v>58</v>
      </c>
      <c r="G37" s="2">
        <v>70</v>
      </c>
      <c r="H37" s="2">
        <v>46</v>
      </c>
      <c r="I37" s="2">
        <v>95</v>
      </c>
      <c r="J37" s="2">
        <v>96</v>
      </c>
      <c r="K37" s="2">
        <v>46</v>
      </c>
      <c r="L37" s="2">
        <v>46</v>
      </c>
      <c r="M37" s="2">
        <v>99</v>
      </c>
      <c r="N37" s="2">
        <v>702</v>
      </c>
      <c r="O37" s="1">
        <f t="shared" si="0"/>
        <v>0.70199999999999996</v>
      </c>
      <c r="P37" s="2" t="s">
        <v>5</v>
      </c>
    </row>
    <row r="38" spans="1:16">
      <c r="A38" s="4" t="s">
        <v>86</v>
      </c>
      <c r="B38" s="4" t="s">
        <v>87</v>
      </c>
      <c r="C38" s="2">
        <v>68</v>
      </c>
      <c r="D38" s="2">
        <v>89</v>
      </c>
      <c r="E38" s="2">
        <v>37</v>
      </c>
      <c r="F38" s="2">
        <v>68</v>
      </c>
      <c r="G38" s="2">
        <v>52</v>
      </c>
      <c r="H38" s="2">
        <v>55</v>
      </c>
      <c r="I38" s="2">
        <v>98</v>
      </c>
      <c r="J38" s="2">
        <v>97</v>
      </c>
      <c r="K38" s="2">
        <v>50</v>
      </c>
      <c r="L38" s="2">
        <v>50</v>
      </c>
      <c r="M38" s="2">
        <v>100</v>
      </c>
      <c r="N38" s="2">
        <v>764</v>
      </c>
      <c r="O38" s="1">
        <f t="shared" si="0"/>
        <v>0.76400000000000001</v>
      </c>
      <c r="P38" s="2" t="s">
        <v>5</v>
      </c>
    </row>
    <row r="39" spans="1:16">
      <c r="A39" s="4" t="s">
        <v>88</v>
      </c>
      <c r="B39" s="4" t="s">
        <v>89</v>
      </c>
      <c r="C39" s="2">
        <v>20</v>
      </c>
      <c r="D39" s="2">
        <v>26</v>
      </c>
      <c r="E39" s="2">
        <v>9</v>
      </c>
      <c r="F39" s="2">
        <v>14</v>
      </c>
      <c r="G39" s="2">
        <v>13</v>
      </c>
      <c r="H39" s="2">
        <v>14</v>
      </c>
      <c r="I39" s="2">
        <v>78</v>
      </c>
      <c r="J39" s="2">
        <v>98</v>
      </c>
      <c r="K39" s="2">
        <v>42</v>
      </c>
      <c r="L39" s="2">
        <v>44</v>
      </c>
      <c r="M39" s="2">
        <v>97</v>
      </c>
      <c r="N39" s="2">
        <v>455</v>
      </c>
      <c r="O39" s="1">
        <f t="shared" si="0"/>
        <v>0.45500000000000002</v>
      </c>
      <c r="P39" s="2" t="s">
        <v>90</v>
      </c>
    </row>
    <row r="40" spans="1:16" ht="24">
      <c r="A40" s="4" t="s">
        <v>91</v>
      </c>
      <c r="B40" s="4" t="s">
        <v>92</v>
      </c>
      <c r="C40" s="2">
        <v>73</v>
      </c>
      <c r="D40" s="2">
        <v>93</v>
      </c>
      <c r="E40" s="2">
        <v>50</v>
      </c>
      <c r="F40" s="2">
        <v>50</v>
      </c>
      <c r="G40" s="2">
        <v>75</v>
      </c>
      <c r="H40" s="2">
        <v>70</v>
      </c>
      <c r="I40" s="2">
        <v>84</v>
      </c>
      <c r="J40" s="2">
        <v>100</v>
      </c>
      <c r="K40" s="2">
        <v>50</v>
      </c>
      <c r="L40" s="2">
        <v>48</v>
      </c>
      <c r="M40" s="2">
        <v>99</v>
      </c>
      <c r="N40" s="2">
        <v>792</v>
      </c>
      <c r="O40" s="1">
        <f t="shared" si="0"/>
        <v>0.79200000000000004</v>
      </c>
      <c r="P40" s="2" t="s">
        <v>5</v>
      </c>
    </row>
    <row r="41" spans="1:16">
      <c r="A41" s="4" t="s">
        <v>93</v>
      </c>
      <c r="B41" s="4" t="s">
        <v>94</v>
      </c>
      <c r="C41" s="2">
        <v>47</v>
      </c>
      <c r="D41" s="2">
        <v>61</v>
      </c>
      <c r="E41" s="2">
        <v>34</v>
      </c>
      <c r="F41" s="2">
        <v>48</v>
      </c>
      <c r="G41" s="2">
        <v>41</v>
      </c>
      <c r="H41" s="2">
        <v>40</v>
      </c>
      <c r="I41" s="2">
        <v>83</v>
      </c>
      <c r="J41" s="2">
        <v>93</v>
      </c>
      <c r="K41" s="2">
        <v>45</v>
      </c>
      <c r="L41" s="2">
        <v>44</v>
      </c>
      <c r="M41" s="2">
        <v>97</v>
      </c>
      <c r="N41" s="2">
        <v>633</v>
      </c>
      <c r="O41" s="1">
        <f t="shared" si="0"/>
        <v>0.63300000000000001</v>
      </c>
      <c r="P41" s="2" t="s">
        <v>65</v>
      </c>
    </row>
    <row r="42" spans="1:16">
      <c r="A42" s="4" t="s">
        <v>95</v>
      </c>
      <c r="B42" s="4" t="s">
        <v>96</v>
      </c>
      <c r="C42" s="2">
        <v>58</v>
      </c>
      <c r="D42" s="2">
        <v>65</v>
      </c>
      <c r="E42" s="2">
        <v>62</v>
      </c>
      <c r="F42" s="2">
        <v>69</v>
      </c>
      <c r="G42" s="2">
        <v>49</v>
      </c>
      <c r="H42" s="2">
        <v>55</v>
      </c>
      <c r="I42" s="2">
        <v>83</v>
      </c>
      <c r="J42" s="2">
        <v>93</v>
      </c>
      <c r="K42" s="2">
        <v>47</v>
      </c>
      <c r="L42" s="2">
        <v>48</v>
      </c>
      <c r="M42" s="2">
        <v>100</v>
      </c>
      <c r="N42" s="2">
        <v>729</v>
      </c>
      <c r="O42" s="1">
        <f t="shared" si="0"/>
        <v>0.72899999999999998</v>
      </c>
      <c r="P42" s="2" t="s">
        <v>5</v>
      </c>
    </row>
    <row r="43" spans="1:16">
      <c r="A43" s="4" t="s">
        <v>97</v>
      </c>
      <c r="B43" s="4" t="s">
        <v>98</v>
      </c>
      <c r="C43" s="2">
        <v>59</v>
      </c>
      <c r="D43" s="2">
        <v>61</v>
      </c>
      <c r="E43" s="2">
        <v>35</v>
      </c>
      <c r="F43" s="2">
        <v>58</v>
      </c>
      <c r="G43" s="2">
        <v>60</v>
      </c>
      <c r="H43" s="2">
        <v>66</v>
      </c>
      <c r="I43" s="2">
        <v>90</v>
      </c>
      <c r="J43" s="2">
        <v>94</v>
      </c>
      <c r="K43" s="2">
        <v>46</v>
      </c>
      <c r="L43" s="2">
        <v>48</v>
      </c>
      <c r="M43" s="2">
        <v>100</v>
      </c>
      <c r="N43" s="2">
        <v>717</v>
      </c>
      <c r="O43" s="1">
        <f t="shared" si="0"/>
        <v>0.71699999999999997</v>
      </c>
      <c r="P43" s="2" t="s">
        <v>65</v>
      </c>
    </row>
    <row r="44" spans="1:16">
      <c r="A44" s="4" t="s">
        <v>99</v>
      </c>
      <c r="B44" s="4" t="s">
        <v>100</v>
      </c>
      <c r="C44" s="2">
        <v>58</v>
      </c>
      <c r="D44" s="2">
        <v>21</v>
      </c>
      <c r="E44" s="2">
        <v>26</v>
      </c>
      <c r="F44" s="2">
        <v>45</v>
      </c>
      <c r="G44" s="2">
        <v>43</v>
      </c>
      <c r="H44" s="2">
        <v>19</v>
      </c>
      <c r="I44" s="2">
        <v>79</v>
      </c>
      <c r="J44" s="2">
        <v>96</v>
      </c>
      <c r="K44" s="2">
        <v>46</v>
      </c>
      <c r="L44" s="2">
        <v>48</v>
      </c>
      <c r="M44" s="2">
        <v>100</v>
      </c>
      <c r="N44" s="2">
        <v>581</v>
      </c>
      <c r="O44" s="1">
        <f t="shared" si="0"/>
        <v>0.58099999999999996</v>
      </c>
      <c r="P44" s="2" t="s">
        <v>101</v>
      </c>
    </row>
    <row r="45" spans="1:16">
      <c r="A45" s="4" t="s">
        <v>102</v>
      </c>
      <c r="B45" s="4" t="s">
        <v>103</v>
      </c>
      <c r="C45" s="2">
        <v>45</v>
      </c>
      <c r="D45" s="2">
        <v>13</v>
      </c>
      <c r="E45" s="2">
        <v>8</v>
      </c>
      <c r="F45" s="2">
        <v>12</v>
      </c>
      <c r="G45" s="2">
        <v>12</v>
      </c>
      <c r="H45" s="2">
        <v>12</v>
      </c>
      <c r="I45" s="2">
        <v>52</v>
      </c>
      <c r="J45" s="2">
        <v>92</v>
      </c>
      <c r="K45" s="2">
        <v>41</v>
      </c>
      <c r="L45" s="2">
        <v>44</v>
      </c>
      <c r="M45" s="2">
        <v>38</v>
      </c>
      <c r="N45" s="2">
        <v>369</v>
      </c>
      <c r="O45" s="1">
        <f t="shared" si="0"/>
        <v>0.36899999999999999</v>
      </c>
      <c r="P45" s="2" t="s">
        <v>104</v>
      </c>
    </row>
    <row r="46" spans="1:16">
      <c r="A46" s="4" t="s">
        <v>105</v>
      </c>
      <c r="B46" s="4" t="s">
        <v>106</v>
      </c>
      <c r="C46" s="2">
        <v>49</v>
      </c>
      <c r="D46" s="2">
        <v>60</v>
      </c>
      <c r="E46" s="2">
        <v>44</v>
      </c>
      <c r="F46" s="2">
        <v>36</v>
      </c>
      <c r="G46" s="2">
        <v>61</v>
      </c>
      <c r="H46" s="2">
        <v>29</v>
      </c>
      <c r="I46" s="2">
        <v>99</v>
      </c>
      <c r="J46" s="2">
        <v>99</v>
      </c>
      <c r="K46" s="2">
        <v>46</v>
      </c>
      <c r="L46" s="2">
        <v>46</v>
      </c>
      <c r="M46" s="2">
        <v>99</v>
      </c>
      <c r="N46" s="2">
        <v>668</v>
      </c>
      <c r="O46" s="1">
        <f t="shared" si="0"/>
        <v>0.66800000000000004</v>
      </c>
      <c r="P46" s="2" t="s">
        <v>107</v>
      </c>
    </row>
    <row r="47" spans="1:16">
      <c r="A47" s="4" t="s">
        <v>108</v>
      </c>
      <c r="B47" s="4" t="s">
        <v>109</v>
      </c>
      <c r="C47" s="2">
        <v>72</v>
      </c>
      <c r="D47" s="2">
        <v>98</v>
      </c>
      <c r="E47" s="2">
        <v>94</v>
      </c>
      <c r="F47" s="2">
        <v>87</v>
      </c>
      <c r="G47" s="2">
        <v>82</v>
      </c>
      <c r="H47" s="2">
        <v>80</v>
      </c>
      <c r="I47" s="2">
        <v>99</v>
      </c>
      <c r="J47" s="2">
        <v>100</v>
      </c>
      <c r="K47" s="2">
        <v>50</v>
      </c>
      <c r="L47" s="2">
        <v>50</v>
      </c>
      <c r="M47" s="2">
        <v>100</v>
      </c>
      <c r="N47" s="2">
        <v>912</v>
      </c>
      <c r="O47" s="1">
        <f t="shared" si="0"/>
        <v>0.91200000000000003</v>
      </c>
      <c r="P47" s="2" t="s">
        <v>5</v>
      </c>
    </row>
    <row r="48" spans="1:16">
      <c r="A48" s="4" t="s">
        <v>110</v>
      </c>
      <c r="B48" s="4" t="s">
        <v>111</v>
      </c>
      <c r="C48" s="2">
        <v>51</v>
      </c>
      <c r="D48" s="2">
        <v>11</v>
      </c>
      <c r="E48" s="2">
        <v>9</v>
      </c>
      <c r="F48" s="2">
        <v>9</v>
      </c>
      <c r="G48" s="2">
        <v>23</v>
      </c>
      <c r="H48" s="2">
        <v>13</v>
      </c>
      <c r="I48" s="2">
        <v>54</v>
      </c>
      <c r="J48" s="2">
        <v>92</v>
      </c>
      <c r="K48" s="2">
        <v>40</v>
      </c>
      <c r="L48" s="2">
        <v>42</v>
      </c>
      <c r="M48" s="2">
        <v>96</v>
      </c>
      <c r="N48" s="2">
        <v>440</v>
      </c>
      <c r="O48" s="1">
        <f t="shared" si="0"/>
        <v>0.44</v>
      </c>
      <c r="P48" s="2" t="s">
        <v>112</v>
      </c>
    </row>
    <row r="49" spans="1:17">
      <c r="A49" s="4" t="s">
        <v>113</v>
      </c>
      <c r="B49" s="4" t="s">
        <v>114</v>
      </c>
      <c r="C49" s="2">
        <v>74</v>
      </c>
      <c r="D49" s="2">
        <v>87</v>
      </c>
      <c r="E49" s="2">
        <v>56</v>
      </c>
      <c r="F49" s="2">
        <v>81</v>
      </c>
      <c r="G49" s="2">
        <v>66</v>
      </c>
      <c r="H49" s="2">
        <v>67</v>
      </c>
      <c r="I49" s="2">
        <v>95</v>
      </c>
      <c r="J49" s="2">
        <v>99</v>
      </c>
      <c r="K49" s="2">
        <v>50</v>
      </c>
      <c r="L49" s="2">
        <v>48</v>
      </c>
      <c r="M49" s="2">
        <v>100</v>
      </c>
      <c r="N49" s="2">
        <v>823</v>
      </c>
      <c r="O49" s="1">
        <f t="shared" si="0"/>
        <v>0.82299999999999995</v>
      </c>
      <c r="P49" s="2" t="s">
        <v>5</v>
      </c>
    </row>
    <row r="50" spans="1:17">
      <c r="A50" s="4" t="s">
        <v>115</v>
      </c>
      <c r="B50" s="4" t="s">
        <v>116</v>
      </c>
      <c r="C50" s="2">
        <v>74</v>
      </c>
      <c r="D50" s="2">
        <v>89</v>
      </c>
      <c r="E50" s="2">
        <v>67</v>
      </c>
      <c r="F50" s="2">
        <v>82</v>
      </c>
      <c r="G50" s="2">
        <v>95</v>
      </c>
      <c r="H50" s="2">
        <v>84</v>
      </c>
      <c r="I50" s="2">
        <v>99</v>
      </c>
      <c r="J50" s="2">
        <v>99</v>
      </c>
      <c r="K50" s="2">
        <v>50</v>
      </c>
      <c r="L50" s="2">
        <v>48</v>
      </c>
      <c r="M50" s="2">
        <v>100</v>
      </c>
      <c r="N50" s="2">
        <v>887</v>
      </c>
      <c r="O50" s="1">
        <f t="shared" si="0"/>
        <v>0.88700000000000001</v>
      </c>
      <c r="P50" s="2" t="s">
        <v>5</v>
      </c>
      <c r="Q50" s="2"/>
    </row>
    <row r="51" spans="1:17" ht="24">
      <c r="A51" s="4" t="s">
        <v>117</v>
      </c>
      <c r="B51" s="4" t="s">
        <v>118</v>
      </c>
      <c r="C51" s="2">
        <v>63</v>
      </c>
      <c r="D51" s="2">
        <v>76</v>
      </c>
      <c r="E51" s="2">
        <v>46</v>
      </c>
      <c r="F51" s="2">
        <v>79</v>
      </c>
      <c r="G51" s="2">
        <v>70</v>
      </c>
      <c r="H51" s="2">
        <v>84</v>
      </c>
      <c r="I51" s="2">
        <v>99</v>
      </c>
      <c r="J51" s="2">
        <v>97</v>
      </c>
      <c r="K51" s="2">
        <v>50</v>
      </c>
      <c r="L51" s="2">
        <v>46</v>
      </c>
      <c r="M51" s="2">
        <v>99</v>
      </c>
      <c r="N51" s="2">
        <v>809</v>
      </c>
      <c r="O51" s="1">
        <f t="shared" si="0"/>
        <v>0.80900000000000005</v>
      </c>
      <c r="P51" s="2" t="s">
        <v>5</v>
      </c>
      <c r="Q51" s="2"/>
    </row>
    <row r="52" spans="1:17">
      <c r="A52" s="4" t="s">
        <v>119</v>
      </c>
      <c r="B52" s="4" t="s">
        <v>120</v>
      </c>
      <c r="C52" s="2">
        <v>56</v>
      </c>
      <c r="D52" s="2">
        <v>65</v>
      </c>
      <c r="E52" s="2">
        <v>73</v>
      </c>
      <c r="F52" s="2">
        <v>72</v>
      </c>
      <c r="G52" s="2">
        <v>72</v>
      </c>
      <c r="H52" s="2">
        <v>79</v>
      </c>
      <c r="I52" s="2">
        <v>100</v>
      </c>
      <c r="J52" s="2">
        <v>99</v>
      </c>
      <c r="K52" s="2">
        <v>48</v>
      </c>
      <c r="L52" s="2">
        <v>48</v>
      </c>
      <c r="M52" s="2">
        <v>100</v>
      </c>
      <c r="N52" s="2">
        <v>812</v>
      </c>
      <c r="O52" s="1">
        <f t="shared" si="0"/>
        <v>0.81200000000000006</v>
      </c>
      <c r="P52" s="2" t="s">
        <v>5</v>
      </c>
      <c r="Q52" s="2"/>
    </row>
    <row r="53" spans="1:17">
      <c r="A53" s="4" t="s">
        <v>121</v>
      </c>
      <c r="B53" s="4" t="s">
        <v>122</v>
      </c>
      <c r="C53" s="2">
        <v>37</v>
      </c>
      <c r="D53" s="2">
        <v>16</v>
      </c>
      <c r="E53" s="2">
        <v>8</v>
      </c>
      <c r="F53" s="2">
        <v>19</v>
      </c>
      <c r="G53" s="2">
        <v>15</v>
      </c>
      <c r="H53" s="2">
        <v>16</v>
      </c>
      <c r="I53" s="2">
        <v>75</v>
      </c>
      <c r="J53" s="2">
        <v>91</v>
      </c>
      <c r="K53" s="2">
        <v>40</v>
      </c>
      <c r="L53" s="2">
        <v>43</v>
      </c>
      <c r="M53" s="2">
        <v>97</v>
      </c>
      <c r="N53" s="2">
        <v>457</v>
      </c>
      <c r="O53" s="1">
        <f t="shared" si="0"/>
        <v>0.45700000000000002</v>
      </c>
      <c r="P53" s="2" t="s">
        <v>123</v>
      </c>
      <c r="Q53" s="2"/>
    </row>
    <row r="54" spans="1:17">
      <c r="A54" s="4" t="s">
        <v>124</v>
      </c>
      <c r="B54" s="4" t="s">
        <v>125</v>
      </c>
      <c r="C54" s="2">
        <v>58</v>
      </c>
      <c r="D54" s="2">
        <v>83</v>
      </c>
      <c r="E54" s="2">
        <v>62</v>
      </c>
      <c r="F54" s="2">
        <v>70</v>
      </c>
      <c r="G54" s="2">
        <v>67</v>
      </c>
      <c r="H54" s="2">
        <v>66</v>
      </c>
      <c r="I54" s="2">
        <v>99</v>
      </c>
      <c r="J54" s="2">
        <v>93</v>
      </c>
      <c r="K54" s="2">
        <v>50</v>
      </c>
      <c r="L54" s="2">
        <v>48</v>
      </c>
      <c r="M54" s="2">
        <v>100</v>
      </c>
      <c r="N54" s="2">
        <v>796</v>
      </c>
      <c r="O54" s="1">
        <f t="shared" si="0"/>
        <v>0.79600000000000004</v>
      </c>
      <c r="P54" s="2" t="s">
        <v>5</v>
      </c>
      <c r="Q54" s="2"/>
    </row>
    <row r="55" spans="1:17">
      <c r="A55" s="4" t="s">
        <v>126</v>
      </c>
      <c r="B55" s="4" t="s">
        <v>127</v>
      </c>
      <c r="C55" s="2">
        <v>16</v>
      </c>
      <c r="D55" s="2">
        <v>15</v>
      </c>
      <c r="E55" s="2">
        <v>16</v>
      </c>
      <c r="F55" s="2">
        <v>16</v>
      </c>
      <c r="G55" s="2">
        <v>15</v>
      </c>
      <c r="H55" s="2">
        <v>16</v>
      </c>
      <c r="I55" s="2">
        <v>37</v>
      </c>
      <c r="J55" s="2">
        <v>96</v>
      </c>
      <c r="K55" s="2">
        <v>48</v>
      </c>
      <c r="L55" s="2">
        <v>46</v>
      </c>
      <c r="M55" s="2">
        <v>96</v>
      </c>
      <c r="N55" s="2">
        <v>417</v>
      </c>
      <c r="O55" s="1">
        <f t="shared" si="0"/>
        <v>0.41699999999999998</v>
      </c>
      <c r="P55" s="2" t="s">
        <v>90</v>
      </c>
      <c r="Q55" s="2" t="s">
        <v>128</v>
      </c>
    </row>
    <row r="56" spans="1:17">
      <c r="A56" s="4" t="s">
        <v>129</v>
      </c>
      <c r="B56" s="4" t="s">
        <v>130</v>
      </c>
      <c r="C56" s="2">
        <v>50</v>
      </c>
      <c r="D56" s="2">
        <v>30</v>
      </c>
      <c r="E56" s="2">
        <v>20</v>
      </c>
      <c r="F56" s="2">
        <v>24</v>
      </c>
      <c r="G56" s="2">
        <v>23</v>
      </c>
      <c r="H56" s="2">
        <v>13</v>
      </c>
      <c r="I56" s="2">
        <v>78</v>
      </c>
      <c r="J56" s="2">
        <v>94</v>
      </c>
      <c r="K56" s="2">
        <v>41</v>
      </c>
      <c r="L56" s="2">
        <v>48</v>
      </c>
      <c r="M56" s="2">
        <v>99</v>
      </c>
      <c r="N56" s="2">
        <v>520</v>
      </c>
      <c r="O56" s="1">
        <f t="shared" si="0"/>
        <v>0.52</v>
      </c>
      <c r="P56" s="2" t="s">
        <v>123</v>
      </c>
      <c r="Q56" s="2"/>
    </row>
    <row r="57" spans="1:17">
      <c r="A57" s="4" t="s">
        <v>131</v>
      </c>
      <c r="B57" s="4" t="s">
        <v>132</v>
      </c>
      <c r="C57" s="2">
        <v>50</v>
      </c>
      <c r="D57" s="2">
        <v>30</v>
      </c>
      <c r="E57" s="2">
        <v>20</v>
      </c>
      <c r="F57" s="2">
        <v>24</v>
      </c>
      <c r="G57" s="2">
        <v>23</v>
      </c>
      <c r="H57" s="2">
        <v>13</v>
      </c>
      <c r="I57" s="2">
        <v>78</v>
      </c>
      <c r="J57" s="2">
        <v>94</v>
      </c>
      <c r="K57" s="2">
        <v>41</v>
      </c>
      <c r="L57" s="2">
        <v>48</v>
      </c>
      <c r="M57" s="2">
        <v>99</v>
      </c>
      <c r="N57" s="2">
        <v>520</v>
      </c>
      <c r="O57" s="1">
        <f t="shared" si="0"/>
        <v>0.52</v>
      </c>
      <c r="P57" s="2" t="s">
        <v>123</v>
      </c>
      <c r="Q57" s="2"/>
    </row>
    <row r="58" spans="1:17">
      <c r="A58" s="4" t="s">
        <v>133</v>
      </c>
      <c r="B58" s="4" t="s">
        <v>134</v>
      </c>
      <c r="C58" s="2">
        <v>67</v>
      </c>
      <c r="D58" s="2">
        <v>45</v>
      </c>
      <c r="E58" s="2">
        <v>45</v>
      </c>
      <c r="F58" s="2">
        <v>55</v>
      </c>
      <c r="G58" s="2">
        <v>69</v>
      </c>
      <c r="H58" s="2">
        <v>42</v>
      </c>
      <c r="I58" s="2">
        <v>100</v>
      </c>
      <c r="J58" s="2">
        <v>96</v>
      </c>
      <c r="K58" s="2">
        <v>46</v>
      </c>
      <c r="L58" s="2">
        <v>46</v>
      </c>
      <c r="M58" s="2">
        <v>99</v>
      </c>
      <c r="N58" s="2">
        <v>710</v>
      </c>
      <c r="O58" s="1">
        <f t="shared" si="0"/>
        <v>0.71</v>
      </c>
      <c r="P58" s="2" t="s">
        <v>5</v>
      </c>
      <c r="Q58" s="2"/>
    </row>
    <row r="59" spans="1:17">
      <c r="A59" s="4" t="s">
        <v>135</v>
      </c>
      <c r="B59" s="4" t="s">
        <v>136</v>
      </c>
      <c r="C59" s="2">
        <v>66</v>
      </c>
      <c r="D59" s="2">
        <v>70</v>
      </c>
      <c r="E59" s="2">
        <v>69</v>
      </c>
      <c r="F59" s="2">
        <v>76</v>
      </c>
      <c r="G59" s="2">
        <v>83</v>
      </c>
      <c r="H59" s="2">
        <v>67</v>
      </c>
      <c r="I59" s="2">
        <v>96</v>
      </c>
      <c r="J59" s="2">
        <v>95</v>
      </c>
      <c r="K59" s="2">
        <v>48</v>
      </c>
      <c r="L59" s="2">
        <v>46</v>
      </c>
      <c r="M59" s="2">
        <v>99</v>
      </c>
      <c r="N59" s="2">
        <v>815</v>
      </c>
      <c r="O59" s="1">
        <f t="shared" si="0"/>
        <v>0.81499999999999995</v>
      </c>
      <c r="P59" s="2" t="s">
        <v>5</v>
      </c>
      <c r="Q59" s="2"/>
    </row>
    <row r="60" spans="1:17">
      <c r="A60" s="4" t="s">
        <v>137</v>
      </c>
      <c r="B60" s="4" t="s">
        <v>138</v>
      </c>
      <c r="C60" s="2">
        <v>51</v>
      </c>
      <c r="D60" s="2">
        <v>71</v>
      </c>
      <c r="E60" s="2">
        <v>75</v>
      </c>
      <c r="F60" s="2">
        <v>47</v>
      </c>
      <c r="G60" s="2">
        <v>60</v>
      </c>
      <c r="H60" s="2">
        <v>66</v>
      </c>
      <c r="I60" s="2">
        <v>92</v>
      </c>
      <c r="J60" s="2">
        <v>99</v>
      </c>
      <c r="K60" s="2">
        <v>50</v>
      </c>
      <c r="L60" s="2">
        <v>48</v>
      </c>
      <c r="M60" s="2">
        <v>100</v>
      </c>
      <c r="N60" s="2">
        <v>759</v>
      </c>
      <c r="O60" s="1">
        <f t="shared" si="0"/>
        <v>0.75900000000000001</v>
      </c>
      <c r="P60" s="2" t="s">
        <v>5</v>
      </c>
      <c r="Q60" s="2"/>
    </row>
    <row r="61" spans="1:17">
      <c r="A61" s="4" t="s">
        <v>139</v>
      </c>
      <c r="B61" s="4" t="s">
        <v>140</v>
      </c>
      <c r="C61" s="2">
        <v>60</v>
      </c>
      <c r="D61" s="2">
        <v>10</v>
      </c>
      <c r="E61" s="2">
        <v>17</v>
      </c>
      <c r="F61" s="2">
        <v>15</v>
      </c>
      <c r="G61" s="2">
        <v>23</v>
      </c>
      <c r="H61" s="2">
        <v>25</v>
      </c>
      <c r="I61" s="2">
        <v>58</v>
      </c>
      <c r="J61" s="2">
        <v>95</v>
      </c>
      <c r="K61" s="2">
        <v>42</v>
      </c>
      <c r="L61" s="2">
        <v>44</v>
      </c>
      <c r="M61" s="2">
        <v>97</v>
      </c>
      <c r="N61" s="2">
        <v>486</v>
      </c>
      <c r="O61" s="1">
        <f t="shared" si="0"/>
        <v>0.48599999999999999</v>
      </c>
      <c r="P61" s="2" t="s">
        <v>112</v>
      </c>
      <c r="Q61" s="2"/>
    </row>
    <row r="62" spans="1:17">
      <c r="A62" s="4" t="s">
        <v>141</v>
      </c>
      <c r="B62" s="4" t="s">
        <v>142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1">
        <f t="shared" si="0"/>
        <v>0</v>
      </c>
      <c r="P62" s="2"/>
      <c r="Q62" s="2"/>
    </row>
    <row r="63" spans="1:17">
      <c r="A63" s="4" t="s">
        <v>143</v>
      </c>
      <c r="B63" s="4" t="s">
        <v>144</v>
      </c>
      <c r="C63" s="2">
        <v>69</v>
      </c>
      <c r="D63" s="2">
        <v>47</v>
      </c>
      <c r="E63" s="2">
        <v>20</v>
      </c>
      <c r="F63" s="2">
        <v>19</v>
      </c>
      <c r="G63" s="2">
        <v>46</v>
      </c>
      <c r="H63" s="2">
        <v>35</v>
      </c>
      <c r="I63" s="2">
        <v>86</v>
      </c>
      <c r="J63" s="2">
        <v>96</v>
      </c>
      <c r="K63" s="2">
        <v>43</v>
      </c>
      <c r="L63" s="2">
        <v>48</v>
      </c>
      <c r="M63" s="2">
        <v>100</v>
      </c>
      <c r="N63" s="2">
        <v>609</v>
      </c>
      <c r="O63" s="1">
        <f t="shared" si="0"/>
        <v>0.60899999999999999</v>
      </c>
      <c r="P63" s="2" t="s">
        <v>10</v>
      </c>
      <c r="Q63" s="2"/>
    </row>
    <row r="64" spans="1:17">
      <c r="A64" s="4" t="s">
        <v>145</v>
      </c>
      <c r="B64" s="4" t="s">
        <v>146</v>
      </c>
      <c r="C64" s="2">
        <v>71</v>
      </c>
      <c r="D64" s="2">
        <v>71</v>
      </c>
      <c r="E64" s="2">
        <v>26</v>
      </c>
      <c r="F64" s="2">
        <v>58</v>
      </c>
      <c r="G64" s="2">
        <v>53</v>
      </c>
      <c r="H64" s="2">
        <v>43</v>
      </c>
      <c r="I64" s="2">
        <v>98</v>
      </c>
      <c r="J64" s="2">
        <v>96</v>
      </c>
      <c r="K64" s="2">
        <v>46</v>
      </c>
      <c r="L64" s="2">
        <v>48</v>
      </c>
      <c r="M64" s="2">
        <v>100</v>
      </c>
      <c r="N64" s="2">
        <v>710</v>
      </c>
      <c r="O64" s="1">
        <f t="shared" si="0"/>
        <v>0.71</v>
      </c>
      <c r="P64" s="2" t="s">
        <v>65</v>
      </c>
      <c r="Q64" s="2"/>
    </row>
    <row r="65" spans="1:17" ht="24">
      <c r="A65" s="4" t="s">
        <v>147</v>
      </c>
      <c r="B65" s="4" t="s">
        <v>148</v>
      </c>
      <c r="C65" s="2">
        <v>83</v>
      </c>
      <c r="D65" s="2">
        <v>92</v>
      </c>
      <c r="E65" s="2">
        <v>83</v>
      </c>
      <c r="F65" s="2">
        <v>67</v>
      </c>
      <c r="G65" s="2">
        <v>72</v>
      </c>
      <c r="H65" s="2">
        <v>72</v>
      </c>
      <c r="I65" s="2">
        <v>99</v>
      </c>
      <c r="J65" s="2">
        <v>100</v>
      </c>
      <c r="K65" s="2">
        <v>50</v>
      </c>
      <c r="L65" s="2">
        <v>50</v>
      </c>
      <c r="M65" s="2">
        <v>100</v>
      </c>
      <c r="N65" s="2">
        <v>868</v>
      </c>
      <c r="O65" s="1">
        <f t="shared" si="0"/>
        <v>0.86799999999999999</v>
      </c>
      <c r="P65" s="2" t="s">
        <v>5</v>
      </c>
      <c r="Q65" s="2"/>
    </row>
    <row r="66" spans="1:17">
      <c r="A66" s="4" t="s">
        <v>149</v>
      </c>
      <c r="B66" s="4" t="s">
        <v>150</v>
      </c>
      <c r="C66" s="2">
        <v>58</v>
      </c>
      <c r="D66" s="2">
        <v>63</v>
      </c>
      <c r="E66" s="2">
        <v>47</v>
      </c>
      <c r="F66" s="2">
        <v>27</v>
      </c>
      <c r="G66" s="2">
        <v>59</v>
      </c>
      <c r="H66" s="2">
        <v>27</v>
      </c>
      <c r="I66" s="2">
        <v>100</v>
      </c>
      <c r="J66" s="2">
        <v>98</v>
      </c>
      <c r="K66" s="2">
        <v>50</v>
      </c>
      <c r="L66" s="2">
        <v>50</v>
      </c>
      <c r="M66" s="2">
        <v>100</v>
      </c>
      <c r="N66" s="2">
        <v>679</v>
      </c>
      <c r="O66" s="1">
        <f t="shared" si="0"/>
        <v>0.67900000000000005</v>
      </c>
      <c r="P66" s="2" t="s">
        <v>107</v>
      </c>
    </row>
    <row r="67" spans="1:17">
      <c r="A67" s="4" t="s">
        <v>151</v>
      </c>
      <c r="B67" s="6" t="s">
        <v>152</v>
      </c>
      <c r="C67" s="2">
        <v>55</v>
      </c>
      <c r="D67" s="2">
        <v>83</v>
      </c>
      <c r="E67" s="2">
        <v>74</v>
      </c>
      <c r="F67" s="2">
        <v>57</v>
      </c>
      <c r="G67" s="2">
        <v>58</v>
      </c>
      <c r="H67" s="2">
        <v>42</v>
      </c>
      <c r="I67" s="2">
        <v>100</v>
      </c>
      <c r="J67" s="2">
        <v>95</v>
      </c>
      <c r="K67" s="2">
        <v>48</v>
      </c>
      <c r="L67" s="2">
        <v>48</v>
      </c>
      <c r="M67" s="2">
        <v>100</v>
      </c>
      <c r="N67" s="2">
        <v>760</v>
      </c>
      <c r="O67" s="1">
        <f t="shared" si="0"/>
        <v>0.76</v>
      </c>
      <c r="P67" s="2" t="s">
        <v>5</v>
      </c>
    </row>
  </sheetData>
  <mergeCells count="1">
    <mergeCell ref="A1:P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8"/>
  <sheetViews>
    <sheetView workbookViewId="0">
      <selection sqref="A1:P1"/>
    </sheetView>
  </sheetViews>
  <sheetFormatPr defaultRowHeight="15"/>
  <cols>
    <col min="1" max="1" width="14.28515625" customWidth="1"/>
    <col min="2" max="2" width="25.7109375" customWidth="1"/>
    <col min="15" max="15" width="9.140625" style="8"/>
    <col min="16" max="16" width="26.42578125" customWidth="1"/>
  </cols>
  <sheetData>
    <row r="1" spans="1:16">
      <c r="A1" s="18" t="s">
        <v>452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2" spans="1:16">
      <c r="A2" s="9" t="s">
        <v>155</v>
      </c>
      <c r="B2" s="9" t="s">
        <v>156</v>
      </c>
      <c r="C2" s="9">
        <v>101</v>
      </c>
      <c r="D2" s="9">
        <v>102</v>
      </c>
      <c r="E2" s="9">
        <v>103</v>
      </c>
      <c r="F2" s="9">
        <v>104</v>
      </c>
      <c r="G2" s="9">
        <v>105</v>
      </c>
      <c r="H2" s="9">
        <v>106</v>
      </c>
      <c r="I2" s="9">
        <v>107</v>
      </c>
      <c r="J2" s="9">
        <v>108</v>
      </c>
      <c r="K2" s="9">
        <v>109</v>
      </c>
      <c r="L2" s="9">
        <v>110</v>
      </c>
      <c r="M2" s="9">
        <v>111</v>
      </c>
      <c r="N2" s="9" t="s">
        <v>1</v>
      </c>
      <c r="O2" s="9" t="s">
        <v>154</v>
      </c>
      <c r="P2" s="9" t="s">
        <v>2</v>
      </c>
    </row>
    <row r="3" spans="1:16">
      <c r="A3" s="9" t="s">
        <v>157</v>
      </c>
      <c r="B3" s="9" t="s">
        <v>158</v>
      </c>
      <c r="C3" s="9">
        <v>57</v>
      </c>
      <c r="D3" s="9">
        <v>95</v>
      </c>
      <c r="E3" s="9">
        <v>59</v>
      </c>
      <c r="F3" s="9">
        <v>32</v>
      </c>
      <c r="G3" s="9">
        <v>68</v>
      </c>
      <c r="H3" s="9">
        <v>26</v>
      </c>
      <c r="I3" s="9">
        <v>98</v>
      </c>
      <c r="J3" s="9">
        <v>98</v>
      </c>
      <c r="K3" s="9">
        <v>50</v>
      </c>
      <c r="L3" s="9">
        <v>50</v>
      </c>
      <c r="M3" s="9">
        <v>100</v>
      </c>
      <c r="N3" s="9">
        <v>733</v>
      </c>
      <c r="O3" s="7">
        <f>(N3/1000)</f>
        <v>0.73299999999999998</v>
      </c>
      <c r="P3" s="9" t="s">
        <v>107</v>
      </c>
    </row>
    <row r="4" spans="1:16">
      <c r="A4" s="9" t="s">
        <v>159</v>
      </c>
      <c r="B4" s="9" t="s">
        <v>160</v>
      </c>
      <c r="C4" s="9">
        <v>71</v>
      </c>
      <c r="D4" s="9">
        <v>58</v>
      </c>
      <c r="E4" s="9">
        <v>51</v>
      </c>
      <c r="F4" s="9">
        <v>50</v>
      </c>
      <c r="G4" s="9">
        <v>53</v>
      </c>
      <c r="H4" s="9">
        <v>54</v>
      </c>
      <c r="I4" s="9">
        <v>78</v>
      </c>
      <c r="J4" s="9">
        <v>99</v>
      </c>
      <c r="K4" s="9">
        <v>50</v>
      </c>
      <c r="L4" s="9">
        <v>47</v>
      </c>
      <c r="M4" s="9">
        <v>100</v>
      </c>
      <c r="N4" s="9">
        <v>711</v>
      </c>
      <c r="O4" s="7">
        <f t="shared" ref="O4:O67" si="0">(N4/1000)</f>
        <v>0.71099999999999997</v>
      </c>
      <c r="P4" s="9" t="s">
        <v>161</v>
      </c>
    </row>
    <row r="5" spans="1:16">
      <c r="A5" s="9" t="s">
        <v>162</v>
      </c>
      <c r="B5" s="9" t="s">
        <v>163</v>
      </c>
      <c r="C5" s="9">
        <v>53</v>
      </c>
      <c r="D5" s="9">
        <v>63</v>
      </c>
      <c r="E5" s="9">
        <v>30</v>
      </c>
      <c r="F5" s="9">
        <v>34</v>
      </c>
      <c r="G5" s="9">
        <v>66</v>
      </c>
      <c r="H5" s="9">
        <v>54</v>
      </c>
      <c r="I5" s="9">
        <v>86</v>
      </c>
      <c r="J5" s="9">
        <v>98</v>
      </c>
      <c r="K5" s="9">
        <v>50</v>
      </c>
      <c r="L5" s="9">
        <v>47</v>
      </c>
      <c r="M5" s="9">
        <v>100</v>
      </c>
      <c r="N5" s="9">
        <v>681</v>
      </c>
      <c r="O5" s="7">
        <f t="shared" si="0"/>
        <v>0.68100000000000005</v>
      </c>
      <c r="P5" s="9" t="s">
        <v>10</v>
      </c>
    </row>
    <row r="6" spans="1:16">
      <c r="A6" s="9" t="s">
        <v>164</v>
      </c>
      <c r="B6" s="9" t="s">
        <v>165</v>
      </c>
      <c r="C6" s="9">
        <v>38</v>
      </c>
      <c r="D6" s="9">
        <v>25</v>
      </c>
      <c r="E6" s="9">
        <v>20</v>
      </c>
      <c r="F6" s="9">
        <v>15</v>
      </c>
      <c r="G6" s="9">
        <v>24</v>
      </c>
      <c r="H6" s="9">
        <v>34</v>
      </c>
      <c r="I6" s="9">
        <v>81</v>
      </c>
      <c r="J6" s="9">
        <v>94</v>
      </c>
      <c r="K6" s="9">
        <v>40</v>
      </c>
      <c r="L6" s="9">
        <v>45</v>
      </c>
      <c r="M6" s="9">
        <v>99</v>
      </c>
      <c r="N6" s="9">
        <v>515</v>
      </c>
      <c r="O6" s="7">
        <f t="shared" si="0"/>
        <v>0.51500000000000001</v>
      </c>
      <c r="P6" s="9" t="s">
        <v>123</v>
      </c>
    </row>
    <row r="7" spans="1:16">
      <c r="A7" s="9" t="s">
        <v>166</v>
      </c>
      <c r="B7" s="9" t="s">
        <v>167</v>
      </c>
      <c r="C7" s="9">
        <v>49</v>
      </c>
      <c r="D7" s="9">
        <v>67</v>
      </c>
      <c r="E7" s="9">
        <v>41</v>
      </c>
      <c r="F7" s="9">
        <v>40</v>
      </c>
      <c r="G7" s="9">
        <v>58</v>
      </c>
      <c r="H7" s="9">
        <v>45</v>
      </c>
      <c r="I7" s="9">
        <v>97</v>
      </c>
      <c r="J7" s="9">
        <v>99</v>
      </c>
      <c r="K7" s="9">
        <v>44</v>
      </c>
      <c r="L7" s="9">
        <v>41</v>
      </c>
      <c r="M7" s="9">
        <v>95</v>
      </c>
      <c r="N7" s="9">
        <v>676</v>
      </c>
      <c r="O7" s="7">
        <f t="shared" si="0"/>
        <v>0.67600000000000005</v>
      </c>
      <c r="P7" s="9" t="s">
        <v>161</v>
      </c>
    </row>
    <row r="8" spans="1:16">
      <c r="A8" s="9" t="s">
        <v>168</v>
      </c>
      <c r="B8" s="9" t="s">
        <v>169</v>
      </c>
      <c r="C8" s="9">
        <v>64</v>
      </c>
      <c r="D8" s="9">
        <v>73</v>
      </c>
      <c r="E8" s="9">
        <v>39</v>
      </c>
      <c r="F8" s="9">
        <v>41</v>
      </c>
      <c r="G8" s="9">
        <v>72</v>
      </c>
      <c r="H8" s="9">
        <v>48</v>
      </c>
      <c r="I8" s="9">
        <v>91</v>
      </c>
      <c r="J8" s="9">
        <v>100</v>
      </c>
      <c r="K8" s="9">
        <v>50</v>
      </c>
      <c r="L8" s="9">
        <v>46</v>
      </c>
      <c r="M8" s="9">
        <v>99</v>
      </c>
      <c r="N8" s="9">
        <v>723</v>
      </c>
      <c r="O8" s="7">
        <f t="shared" si="0"/>
        <v>0.72299999999999998</v>
      </c>
      <c r="P8" s="9" t="s">
        <v>161</v>
      </c>
    </row>
    <row r="9" spans="1:16">
      <c r="A9" s="9" t="s">
        <v>170</v>
      </c>
      <c r="B9" s="9" t="s">
        <v>171</v>
      </c>
      <c r="C9" s="9">
        <v>44</v>
      </c>
      <c r="D9" s="9">
        <v>19</v>
      </c>
      <c r="E9" s="9">
        <v>20</v>
      </c>
      <c r="F9" s="9">
        <v>30</v>
      </c>
      <c r="G9" s="9">
        <v>60</v>
      </c>
      <c r="H9" s="9">
        <v>43</v>
      </c>
      <c r="I9" s="9">
        <v>80</v>
      </c>
      <c r="J9" s="9">
        <v>95</v>
      </c>
      <c r="K9" s="9">
        <v>40</v>
      </c>
      <c r="L9" s="9">
        <v>43</v>
      </c>
      <c r="M9" s="9">
        <v>99</v>
      </c>
      <c r="N9" s="9">
        <v>573</v>
      </c>
      <c r="O9" s="7">
        <f t="shared" si="0"/>
        <v>0.57299999999999995</v>
      </c>
      <c r="P9" s="9" t="s">
        <v>172</v>
      </c>
    </row>
    <row r="10" spans="1:16">
      <c r="A10" s="9" t="s">
        <v>173</v>
      </c>
      <c r="B10" s="9" t="s">
        <v>174</v>
      </c>
      <c r="C10" s="9">
        <v>47</v>
      </c>
      <c r="D10" s="9">
        <v>81</v>
      </c>
      <c r="E10" s="9">
        <v>55</v>
      </c>
      <c r="F10" s="9">
        <v>50</v>
      </c>
      <c r="G10" s="9">
        <v>48</v>
      </c>
      <c r="H10" s="9">
        <v>36</v>
      </c>
      <c r="I10" s="9">
        <v>99</v>
      </c>
      <c r="J10" s="9">
        <v>95</v>
      </c>
      <c r="K10" s="9">
        <v>46</v>
      </c>
      <c r="L10" s="9">
        <v>43</v>
      </c>
      <c r="M10" s="9">
        <v>97</v>
      </c>
      <c r="N10" s="9">
        <v>697</v>
      </c>
      <c r="O10" s="7">
        <f t="shared" si="0"/>
        <v>0.69699999999999995</v>
      </c>
      <c r="P10" s="9" t="s">
        <v>161</v>
      </c>
    </row>
    <row r="11" spans="1:16">
      <c r="A11" s="9" t="s">
        <v>175</v>
      </c>
      <c r="B11" s="9" t="s">
        <v>176</v>
      </c>
      <c r="C11" s="9">
        <v>47</v>
      </c>
      <c r="D11" s="9">
        <v>79</v>
      </c>
      <c r="E11" s="9">
        <v>20</v>
      </c>
      <c r="F11" s="9">
        <v>52</v>
      </c>
      <c r="G11" s="9">
        <v>45</v>
      </c>
      <c r="H11" s="9">
        <v>54</v>
      </c>
      <c r="I11" s="9">
        <v>95</v>
      </c>
      <c r="J11" s="9">
        <v>98</v>
      </c>
      <c r="K11" s="9">
        <v>46</v>
      </c>
      <c r="L11" s="9">
        <v>43</v>
      </c>
      <c r="M11" s="9">
        <v>99</v>
      </c>
      <c r="N11" s="9">
        <v>678</v>
      </c>
      <c r="O11" s="7">
        <f t="shared" si="0"/>
        <v>0.67800000000000005</v>
      </c>
      <c r="P11" s="9" t="s">
        <v>65</v>
      </c>
    </row>
    <row r="12" spans="1:16">
      <c r="A12" s="9" t="s">
        <v>177</v>
      </c>
      <c r="B12" s="9" t="s">
        <v>178</v>
      </c>
      <c r="C12" s="9">
        <v>55</v>
      </c>
      <c r="D12" s="9">
        <v>18</v>
      </c>
      <c r="E12" s="9">
        <v>21</v>
      </c>
      <c r="F12" s="9">
        <v>38</v>
      </c>
      <c r="G12" s="9">
        <v>41</v>
      </c>
      <c r="H12" s="9">
        <v>45</v>
      </c>
      <c r="I12" s="9">
        <v>97</v>
      </c>
      <c r="J12" s="9">
        <v>98</v>
      </c>
      <c r="K12" s="9">
        <v>42</v>
      </c>
      <c r="L12" s="9">
        <v>45</v>
      </c>
      <c r="M12" s="9">
        <v>100</v>
      </c>
      <c r="N12" s="9">
        <v>600</v>
      </c>
      <c r="O12" s="7">
        <f t="shared" si="0"/>
        <v>0.6</v>
      </c>
      <c r="P12" s="9" t="s">
        <v>179</v>
      </c>
    </row>
    <row r="13" spans="1:16">
      <c r="A13" s="9" t="s">
        <v>180</v>
      </c>
      <c r="B13" s="9" t="s">
        <v>181</v>
      </c>
      <c r="C13" s="9">
        <v>65</v>
      </c>
      <c r="D13" s="9">
        <v>90</v>
      </c>
      <c r="E13" s="9">
        <v>69</v>
      </c>
      <c r="F13" s="9">
        <v>83</v>
      </c>
      <c r="G13" s="9">
        <v>62</v>
      </c>
      <c r="H13" s="9">
        <v>73</v>
      </c>
      <c r="I13" s="9">
        <v>93</v>
      </c>
      <c r="J13" s="9">
        <v>95</v>
      </c>
      <c r="K13" s="9">
        <v>50</v>
      </c>
      <c r="L13" s="9">
        <v>43</v>
      </c>
      <c r="M13" s="9">
        <v>99</v>
      </c>
      <c r="N13" s="9">
        <v>822</v>
      </c>
      <c r="O13" s="7">
        <f t="shared" si="0"/>
        <v>0.82199999999999995</v>
      </c>
      <c r="P13" s="9" t="s">
        <v>161</v>
      </c>
    </row>
    <row r="14" spans="1:16">
      <c r="A14" s="9" t="s">
        <v>182</v>
      </c>
      <c r="B14" s="9" t="s">
        <v>183</v>
      </c>
      <c r="C14" s="9">
        <v>77</v>
      </c>
      <c r="D14" s="9">
        <v>77</v>
      </c>
      <c r="E14" s="9">
        <v>50</v>
      </c>
      <c r="F14" s="9">
        <v>56</v>
      </c>
      <c r="G14" s="9">
        <v>72</v>
      </c>
      <c r="H14" s="9">
        <v>81</v>
      </c>
      <c r="I14" s="9">
        <v>96</v>
      </c>
      <c r="J14" s="9">
        <v>100</v>
      </c>
      <c r="K14" s="9">
        <v>50</v>
      </c>
      <c r="L14" s="9">
        <v>50</v>
      </c>
      <c r="M14" s="9">
        <v>100</v>
      </c>
      <c r="N14" s="9">
        <v>809</v>
      </c>
      <c r="O14" s="7">
        <f t="shared" si="0"/>
        <v>0.80900000000000005</v>
      </c>
      <c r="P14" s="9" t="s">
        <v>161</v>
      </c>
    </row>
    <row r="15" spans="1:16">
      <c r="A15" s="9" t="s">
        <v>184</v>
      </c>
      <c r="B15" s="9" t="s">
        <v>185</v>
      </c>
      <c r="C15" s="9">
        <v>60</v>
      </c>
      <c r="D15" s="9">
        <v>99</v>
      </c>
      <c r="E15" s="9">
        <v>58</v>
      </c>
      <c r="F15" s="9">
        <v>61</v>
      </c>
      <c r="G15" s="9">
        <v>61</v>
      </c>
      <c r="H15" s="9">
        <v>70</v>
      </c>
      <c r="I15" s="9">
        <v>97</v>
      </c>
      <c r="J15" s="9">
        <v>98</v>
      </c>
      <c r="K15" s="9">
        <v>48</v>
      </c>
      <c r="L15" s="9">
        <v>46</v>
      </c>
      <c r="M15" s="9">
        <v>100</v>
      </c>
      <c r="N15" s="9">
        <v>798</v>
      </c>
      <c r="O15" s="7">
        <f t="shared" si="0"/>
        <v>0.79800000000000004</v>
      </c>
      <c r="P15" s="9" t="s">
        <v>161</v>
      </c>
    </row>
    <row r="16" spans="1:16">
      <c r="A16" s="9" t="s">
        <v>186</v>
      </c>
      <c r="B16" s="9" t="s">
        <v>187</v>
      </c>
      <c r="C16" s="9">
        <v>49</v>
      </c>
      <c r="D16" s="9">
        <v>59</v>
      </c>
      <c r="E16" s="9">
        <v>43</v>
      </c>
      <c r="F16" s="9">
        <v>46</v>
      </c>
      <c r="G16" s="9">
        <v>51</v>
      </c>
      <c r="H16" s="9">
        <v>46</v>
      </c>
      <c r="I16" s="9">
        <v>98</v>
      </c>
      <c r="J16" s="9">
        <v>94</v>
      </c>
      <c r="K16" s="9">
        <v>44</v>
      </c>
      <c r="L16" s="9">
        <v>43</v>
      </c>
      <c r="M16" s="9">
        <v>95</v>
      </c>
      <c r="N16" s="9">
        <v>668</v>
      </c>
      <c r="O16" s="7">
        <f t="shared" si="0"/>
        <v>0.66800000000000004</v>
      </c>
      <c r="P16" s="9" t="s">
        <v>161</v>
      </c>
    </row>
    <row r="17" spans="1:16">
      <c r="A17" s="9" t="s">
        <v>188</v>
      </c>
      <c r="B17" s="9" t="s">
        <v>189</v>
      </c>
      <c r="C17" s="9">
        <v>65</v>
      </c>
      <c r="D17" s="9">
        <v>18</v>
      </c>
      <c r="E17" s="9">
        <v>12</v>
      </c>
      <c r="F17" s="9">
        <v>18</v>
      </c>
      <c r="G17" s="9">
        <v>24</v>
      </c>
      <c r="H17" s="9">
        <v>19</v>
      </c>
      <c r="I17" s="9">
        <v>80</v>
      </c>
      <c r="J17" s="9">
        <v>94</v>
      </c>
      <c r="K17" s="9">
        <v>40</v>
      </c>
      <c r="L17" s="9">
        <v>41</v>
      </c>
      <c r="M17" s="9">
        <v>95</v>
      </c>
      <c r="N17" s="9">
        <v>506</v>
      </c>
      <c r="O17" s="7">
        <f t="shared" si="0"/>
        <v>0.50600000000000001</v>
      </c>
      <c r="P17" s="9" t="s">
        <v>190</v>
      </c>
    </row>
    <row r="18" spans="1:16">
      <c r="A18" s="9" t="s">
        <v>191</v>
      </c>
      <c r="B18" s="9" t="s">
        <v>192</v>
      </c>
      <c r="C18" s="9">
        <v>83</v>
      </c>
      <c r="D18" s="9">
        <v>92</v>
      </c>
      <c r="E18" s="9">
        <v>91</v>
      </c>
      <c r="F18" s="9">
        <v>83</v>
      </c>
      <c r="G18" s="9">
        <v>95</v>
      </c>
      <c r="H18" s="9">
        <v>91</v>
      </c>
      <c r="I18" s="9">
        <v>93</v>
      </c>
      <c r="J18" s="9">
        <v>99</v>
      </c>
      <c r="K18" s="9">
        <v>50</v>
      </c>
      <c r="L18" s="9">
        <v>47</v>
      </c>
      <c r="M18" s="9">
        <v>99</v>
      </c>
      <c r="N18" s="9">
        <v>923</v>
      </c>
      <c r="O18" s="7">
        <f t="shared" si="0"/>
        <v>0.92300000000000004</v>
      </c>
      <c r="P18" s="9" t="s">
        <v>161</v>
      </c>
    </row>
    <row r="19" spans="1:16">
      <c r="A19" s="9" t="s">
        <v>193</v>
      </c>
      <c r="B19" s="9" t="s">
        <v>194</v>
      </c>
      <c r="C19" s="9">
        <v>76</v>
      </c>
      <c r="D19" s="9">
        <v>99</v>
      </c>
      <c r="E19" s="9">
        <v>66</v>
      </c>
      <c r="F19" s="9">
        <v>64</v>
      </c>
      <c r="G19" s="9">
        <v>59</v>
      </c>
      <c r="H19" s="9">
        <v>54</v>
      </c>
      <c r="I19" s="9">
        <v>85</v>
      </c>
      <c r="J19" s="9">
        <v>95</v>
      </c>
      <c r="K19" s="9">
        <v>50</v>
      </c>
      <c r="L19" s="9">
        <v>50</v>
      </c>
      <c r="M19" s="9">
        <v>100</v>
      </c>
      <c r="N19" s="9">
        <v>798</v>
      </c>
      <c r="O19" s="7">
        <f t="shared" si="0"/>
        <v>0.79800000000000004</v>
      </c>
      <c r="P19" s="9" t="s">
        <v>161</v>
      </c>
    </row>
    <row r="20" spans="1:16">
      <c r="A20" s="9" t="s">
        <v>195</v>
      </c>
      <c r="B20" s="9" t="s">
        <v>196</v>
      </c>
      <c r="C20" s="9">
        <v>70</v>
      </c>
      <c r="D20" s="9">
        <v>51</v>
      </c>
      <c r="E20" s="9">
        <v>14</v>
      </c>
      <c r="F20" s="9">
        <v>25</v>
      </c>
      <c r="G20" s="9">
        <v>46</v>
      </c>
      <c r="H20" s="9">
        <v>16</v>
      </c>
      <c r="I20" s="9">
        <v>87</v>
      </c>
      <c r="J20" s="9">
        <v>95</v>
      </c>
      <c r="K20" s="9">
        <v>40</v>
      </c>
      <c r="L20" s="9">
        <v>40</v>
      </c>
      <c r="M20" s="9">
        <v>95</v>
      </c>
      <c r="N20" s="9">
        <v>596</v>
      </c>
      <c r="O20" s="7">
        <f t="shared" si="0"/>
        <v>0.59599999999999997</v>
      </c>
      <c r="P20" s="9" t="s">
        <v>197</v>
      </c>
    </row>
    <row r="21" spans="1:16">
      <c r="A21" s="9" t="s">
        <v>198</v>
      </c>
      <c r="B21" s="9" t="s">
        <v>199</v>
      </c>
      <c r="C21" s="9">
        <v>71</v>
      </c>
      <c r="D21" s="9">
        <v>44</v>
      </c>
      <c r="E21" s="9">
        <v>53</v>
      </c>
      <c r="F21" s="9">
        <v>71</v>
      </c>
      <c r="G21" s="9">
        <v>66</v>
      </c>
      <c r="H21" s="9">
        <v>41</v>
      </c>
      <c r="I21" s="9">
        <v>97</v>
      </c>
      <c r="J21" s="9">
        <v>95</v>
      </c>
      <c r="K21" s="9">
        <v>42</v>
      </c>
      <c r="L21" s="9">
        <v>42</v>
      </c>
      <c r="M21" s="9">
        <v>95</v>
      </c>
      <c r="N21" s="9">
        <v>717</v>
      </c>
      <c r="O21" s="7">
        <f t="shared" si="0"/>
        <v>0.71699999999999997</v>
      </c>
      <c r="P21" s="9" t="s">
        <v>161</v>
      </c>
    </row>
    <row r="22" spans="1:16">
      <c r="A22" s="9" t="s">
        <v>200</v>
      </c>
      <c r="B22" s="9" t="s">
        <v>201</v>
      </c>
      <c r="C22" s="9">
        <v>70</v>
      </c>
      <c r="D22" s="9">
        <v>27</v>
      </c>
      <c r="E22" s="9">
        <v>19</v>
      </c>
      <c r="F22" s="9">
        <v>42</v>
      </c>
      <c r="G22" s="9">
        <v>62</v>
      </c>
      <c r="H22" s="9">
        <v>39</v>
      </c>
      <c r="I22" s="9">
        <v>80</v>
      </c>
      <c r="J22" s="9">
        <v>100</v>
      </c>
      <c r="K22" s="9">
        <v>46</v>
      </c>
      <c r="L22" s="9">
        <v>50</v>
      </c>
      <c r="M22" s="9">
        <v>100</v>
      </c>
      <c r="N22" s="9">
        <v>635</v>
      </c>
      <c r="O22" s="7">
        <f t="shared" si="0"/>
        <v>0.63500000000000001</v>
      </c>
      <c r="P22" s="9" t="s">
        <v>179</v>
      </c>
    </row>
    <row r="23" spans="1:16">
      <c r="A23" s="9" t="s">
        <v>202</v>
      </c>
      <c r="B23" s="9" t="s">
        <v>203</v>
      </c>
      <c r="C23" s="9">
        <v>61</v>
      </c>
      <c r="D23" s="9">
        <v>12</v>
      </c>
      <c r="E23" s="9">
        <v>13</v>
      </c>
      <c r="F23" s="9">
        <v>11</v>
      </c>
      <c r="G23" s="9">
        <v>42</v>
      </c>
      <c r="H23" s="9">
        <v>17</v>
      </c>
      <c r="I23" s="9">
        <v>70</v>
      </c>
      <c r="J23" s="9">
        <v>94</v>
      </c>
      <c r="K23" s="9">
        <v>40</v>
      </c>
      <c r="L23" s="9">
        <v>45</v>
      </c>
      <c r="M23" s="9">
        <v>99</v>
      </c>
      <c r="N23" s="9">
        <v>504</v>
      </c>
      <c r="O23" s="7">
        <f t="shared" si="0"/>
        <v>0.504</v>
      </c>
      <c r="P23" s="9" t="s">
        <v>39</v>
      </c>
    </row>
    <row r="24" spans="1:16">
      <c r="A24" s="9" t="s">
        <v>204</v>
      </c>
      <c r="B24" s="9" t="s">
        <v>205</v>
      </c>
      <c r="C24" s="9">
        <v>62</v>
      </c>
      <c r="D24" s="9">
        <v>36</v>
      </c>
      <c r="E24" s="9">
        <v>20</v>
      </c>
      <c r="F24" s="9">
        <v>30</v>
      </c>
      <c r="G24" s="9">
        <v>72</v>
      </c>
      <c r="H24" s="9">
        <v>20</v>
      </c>
      <c r="I24" s="9">
        <v>96</v>
      </c>
      <c r="J24" s="9">
        <v>96</v>
      </c>
      <c r="K24" s="9">
        <v>46</v>
      </c>
      <c r="L24" s="9">
        <v>41</v>
      </c>
      <c r="M24" s="9">
        <v>95</v>
      </c>
      <c r="N24" s="9">
        <v>614</v>
      </c>
      <c r="O24" s="7">
        <f t="shared" si="0"/>
        <v>0.61399999999999999</v>
      </c>
      <c r="P24" s="9" t="s">
        <v>197</v>
      </c>
    </row>
    <row r="25" spans="1:16">
      <c r="A25" s="9" t="s">
        <v>206</v>
      </c>
      <c r="B25" s="9" t="s">
        <v>207</v>
      </c>
      <c r="C25" s="9">
        <v>76</v>
      </c>
      <c r="D25" s="9">
        <v>47</v>
      </c>
      <c r="E25" s="9">
        <v>48</v>
      </c>
      <c r="F25" s="9">
        <v>43</v>
      </c>
      <c r="G25" s="9">
        <v>69</v>
      </c>
      <c r="H25" s="9">
        <v>62</v>
      </c>
      <c r="I25" s="9">
        <v>93</v>
      </c>
      <c r="J25" s="9">
        <v>96</v>
      </c>
      <c r="K25" s="9">
        <v>50</v>
      </c>
      <c r="L25" s="9">
        <v>42</v>
      </c>
      <c r="M25" s="9">
        <v>97</v>
      </c>
      <c r="N25" s="9">
        <v>723</v>
      </c>
      <c r="O25" s="7">
        <f t="shared" si="0"/>
        <v>0.72299999999999998</v>
      </c>
      <c r="P25" s="9" t="s">
        <v>161</v>
      </c>
    </row>
    <row r="26" spans="1:16">
      <c r="A26" s="9" t="s">
        <v>208</v>
      </c>
      <c r="B26" s="9" t="s">
        <v>209</v>
      </c>
      <c r="C26" s="9">
        <v>73</v>
      </c>
      <c r="D26" s="9">
        <v>21</v>
      </c>
      <c r="E26" s="9">
        <v>40</v>
      </c>
      <c r="F26" s="9">
        <v>47</v>
      </c>
      <c r="G26" s="9">
        <v>49</v>
      </c>
      <c r="H26" s="9">
        <v>55</v>
      </c>
      <c r="I26" s="9">
        <v>89</v>
      </c>
      <c r="J26" s="9">
        <v>94</v>
      </c>
      <c r="K26" s="9">
        <v>44</v>
      </c>
      <c r="L26" s="9">
        <v>45</v>
      </c>
      <c r="M26" s="9">
        <v>100</v>
      </c>
      <c r="N26" s="9">
        <v>657</v>
      </c>
      <c r="O26" s="7">
        <f t="shared" si="0"/>
        <v>0.65700000000000003</v>
      </c>
      <c r="P26" s="9" t="s">
        <v>210</v>
      </c>
    </row>
    <row r="27" spans="1:16">
      <c r="A27" s="9" t="s">
        <v>211</v>
      </c>
      <c r="B27" s="9" t="s">
        <v>212</v>
      </c>
      <c r="C27" s="9">
        <v>76</v>
      </c>
      <c r="D27" s="9">
        <v>98</v>
      </c>
      <c r="E27" s="9">
        <v>94</v>
      </c>
      <c r="F27" s="9">
        <v>81</v>
      </c>
      <c r="G27" s="9">
        <v>94</v>
      </c>
      <c r="H27" s="9">
        <v>88</v>
      </c>
      <c r="I27" s="9">
        <v>100</v>
      </c>
      <c r="J27" s="9">
        <v>100</v>
      </c>
      <c r="K27" s="9">
        <v>50</v>
      </c>
      <c r="L27" s="9">
        <v>50</v>
      </c>
      <c r="M27" s="9">
        <v>100</v>
      </c>
      <c r="N27" s="9">
        <v>931</v>
      </c>
      <c r="O27" s="7">
        <f t="shared" si="0"/>
        <v>0.93100000000000005</v>
      </c>
      <c r="P27" s="9" t="s">
        <v>161</v>
      </c>
    </row>
    <row r="28" spans="1:16">
      <c r="A28" s="9" t="s">
        <v>213</v>
      </c>
      <c r="B28" s="9" t="s">
        <v>214</v>
      </c>
      <c r="C28" s="9">
        <v>64</v>
      </c>
      <c r="D28" s="9">
        <v>68</v>
      </c>
      <c r="E28" s="9">
        <v>47</v>
      </c>
      <c r="F28" s="9">
        <v>56</v>
      </c>
      <c r="G28" s="9">
        <v>56</v>
      </c>
      <c r="H28" s="9">
        <v>60</v>
      </c>
      <c r="I28" s="9">
        <v>98</v>
      </c>
      <c r="J28" s="9">
        <v>99</v>
      </c>
      <c r="K28" s="9">
        <v>50</v>
      </c>
      <c r="L28" s="9">
        <v>50</v>
      </c>
      <c r="M28" s="9">
        <v>100</v>
      </c>
      <c r="N28" s="9">
        <v>748</v>
      </c>
      <c r="O28" s="7">
        <f t="shared" si="0"/>
        <v>0.748</v>
      </c>
      <c r="P28" s="9" t="s">
        <v>161</v>
      </c>
    </row>
    <row r="29" spans="1:16">
      <c r="A29" s="9" t="s">
        <v>215</v>
      </c>
      <c r="B29" s="9" t="s">
        <v>216</v>
      </c>
      <c r="C29" s="9">
        <v>64</v>
      </c>
      <c r="D29" s="9">
        <v>48</v>
      </c>
      <c r="E29" s="9">
        <v>45</v>
      </c>
      <c r="F29" s="9">
        <v>51</v>
      </c>
      <c r="G29" s="9">
        <v>84</v>
      </c>
      <c r="H29" s="9">
        <v>49</v>
      </c>
      <c r="I29" s="9">
        <v>96</v>
      </c>
      <c r="J29" s="9">
        <v>94</v>
      </c>
      <c r="K29" s="9">
        <v>96</v>
      </c>
      <c r="L29" s="9">
        <v>42</v>
      </c>
      <c r="M29" s="9">
        <v>97</v>
      </c>
      <c r="N29" s="9">
        <v>696</v>
      </c>
      <c r="O29" s="7">
        <f t="shared" si="0"/>
        <v>0.69599999999999995</v>
      </c>
      <c r="P29" s="9" t="s">
        <v>65</v>
      </c>
    </row>
    <row r="30" spans="1:16">
      <c r="A30" s="9" t="s">
        <v>217</v>
      </c>
      <c r="B30" s="9" t="s">
        <v>218</v>
      </c>
      <c r="C30" s="9">
        <v>63</v>
      </c>
      <c r="D30" s="9">
        <v>89</v>
      </c>
      <c r="E30" s="9">
        <v>84</v>
      </c>
      <c r="F30" s="9">
        <v>63</v>
      </c>
      <c r="G30" s="9">
        <v>66</v>
      </c>
      <c r="H30" s="9">
        <v>75</v>
      </c>
      <c r="I30" s="9">
        <v>87</v>
      </c>
      <c r="J30" s="9">
        <v>93</v>
      </c>
      <c r="K30" s="9">
        <v>50</v>
      </c>
      <c r="L30" s="9">
        <v>41</v>
      </c>
      <c r="M30" s="9">
        <v>95</v>
      </c>
      <c r="N30" s="9">
        <v>806</v>
      </c>
      <c r="O30" s="7">
        <f t="shared" si="0"/>
        <v>0.80600000000000005</v>
      </c>
      <c r="P30" s="9" t="s">
        <v>161</v>
      </c>
    </row>
    <row r="31" spans="1:16">
      <c r="A31" s="9" t="s">
        <v>219</v>
      </c>
      <c r="B31" s="9" t="s">
        <v>220</v>
      </c>
      <c r="C31" s="9">
        <v>68</v>
      </c>
      <c r="D31" s="9">
        <v>38</v>
      </c>
      <c r="E31" s="9">
        <v>29</v>
      </c>
      <c r="F31" s="9">
        <v>42</v>
      </c>
      <c r="G31" s="9">
        <v>49</v>
      </c>
      <c r="H31" s="9">
        <v>47</v>
      </c>
      <c r="I31" s="9">
        <v>72</v>
      </c>
      <c r="J31" s="9">
        <v>95</v>
      </c>
      <c r="K31" s="9">
        <v>46</v>
      </c>
      <c r="L31" s="9">
        <v>42</v>
      </c>
      <c r="M31" s="9">
        <v>97</v>
      </c>
      <c r="N31" s="9">
        <v>625</v>
      </c>
      <c r="O31" s="7">
        <f t="shared" si="0"/>
        <v>0.625</v>
      </c>
      <c r="P31" s="9" t="s">
        <v>65</v>
      </c>
    </row>
    <row r="32" spans="1:16">
      <c r="A32" s="9" t="s">
        <v>221</v>
      </c>
      <c r="B32" s="9" t="s">
        <v>222</v>
      </c>
      <c r="C32" s="9">
        <v>45</v>
      </c>
      <c r="D32" s="9">
        <v>11</v>
      </c>
      <c r="E32" s="9">
        <v>8</v>
      </c>
      <c r="F32" s="9">
        <v>12</v>
      </c>
      <c r="G32" s="9">
        <v>24</v>
      </c>
      <c r="H32" s="9">
        <v>19</v>
      </c>
      <c r="I32" s="9">
        <v>72</v>
      </c>
      <c r="J32" s="9">
        <v>93</v>
      </c>
      <c r="K32" s="9">
        <v>40</v>
      </c>
      <c r="L32" s="9">
        <v>40</v>
      </c>
      <c r="M32" s="9">
        <v>95</v>
      </c>
      <c r="N32" s="9">
        <v>459</v>
      </c>
      <c r="O32" s="7">
        <f t="shared" si="0"/>
        <v>0.45900000000000002</v>
      </c>
      <c r="P32" s="9" t="s">
        <v>223</v>
      </c>
    </row>
    <row r="33" spans="1:16">
      <c r="A33" s="9" t="s">
        <v>224</v>
      </c>
      <c r="B33" s="9" t="s">
        <v>225</v>
      </c>
      <c r="C33" s="9">
        <v>56</v>
      </c>
      <c r="D33" s="9">
        <v>61</v>
      </c>
      <c r="E33" s="9">
        <v>36</v>
      </c>
      <c r="F33" s="9">
        <v>45</v>
      </c>
      <c r="G33" s="9">
        <v>36</v>
      </c>
      <c r="H33" s="9">
        <v>36</v>
      </c>
      <c r="I33" s="9">
        <v>74</v>
      </c>
      <c r="J33" s="9">
        <v>93</v>
      </c>
      <c r="K33" s="9">
        <v>48</v>
      </c>
      <c r="L33" s="9">
        <v>40</v>
      </c>
      <c r="M33" s="9">
        <v>95</v>
      </c>
      <c r="N33" s="9">
        <v>620</v>
      </c>
      <c r="O33" s="7">
        <f t="shared" si="0"/>
        <v>0.62</v>
      </c>
      <c r="P33" s="9" t="s">
        <v>65</v>
      </c>
    </row>
    <row r="34" spans="1:16">
      <c r="A34" s="9" t="s">
        <v>226</v>
      </c>
      <c r="B34" s="9" t="s">
        <v>227</v>
      </c>
      <c r="C34" s="9">
        <v>40</v>
      </c>
      <c r="D34" s="9">
        <v>8</v>
      </c>
      <c r="E34" s="9">
        <v>12</v>
      </c>
      <c r="F34" s="9">
        <v>14</v>
      </c>
      <c r="G34" s="9">
        <v>19</v>
      </c>
      <c r="H34" s="9">
        <v>8</v>
      </c>
      <c r="I34" s="9">
        <v>68</v>
      </c>
      <c r="J34" s="9">
        <v>93</v>
      </c>
      <c r="K34" s="9">
        <v>40</v>
      </c>
      <c r="L34" s="9">
        <v>40</v>
      </c>
      <c r="M34" s="9">
        <v>95</v>
      </c>
      <c r="N34" s="9">
        <v>437</v>
      </c>
      <c r="O34" s="7">
        <f t="shared" si="0"/>
        <v>0.437</v>
      </c>
      <c r="P34" s="9" t="s">
        <v>228</v>
      </c>
    </row>
    <row r="35" spans="1:16">
      <c r="A35" s="9" t="s">
        <v>229</v>
      </c>
      <c r="B35" s="9" t="s">
        <v>230</v>
      </c>
      <c r="C35" s="9">
        <v>55</v>
      </c>
      <c r="D35" s="9">
        <v>67</v>
      </c>
      <c r="E35" s="9">
        <v>29</v>
      </c>
      <c r="F35" s="9">
        <v>49</v>
      </c>
      <c r="G35" s="9">
        <v>47</v>
      </c>
      <c r="H35" s="9">
        <v>38</v>
      </c>
      <c r="I35" s="9">
        <v>89</v>
      </c>
      <c r="J35" s="9">
        <v>95</v>
      </c>
      <c r="K35" s="9">
        <v>44</v>
      </c>
      <c r="L35" s="9">
        <v>46</v>
      </c>
      <c r="M35" s="9">
        <v>100</v>
      </c>
      <c r="N35" s="9">
        <v>659</v>
      </c>
      <c r="O35" s="7">
        <f t="shared" si="0"/>
        <v>0.65900000000000003</v>
      </c>
      <c r="P35" s="9" t="s">
        <v>65</v>
      </c>
    </row>
    <row r="36" spans="1:16">
      <c r="A36" s="9" t="s">
        <v>231</v>
      </c>
      <c r="B36" s="9" t="s">
        <v>232</v>
      </c>
      <c r="C36" s="9">
        <v>72</v>
      </c>
      <c r="D36" s="9">
        <v>51</v>
      </c>
      <c r="E36" s="9">
        <v>54</v>
      </c>
      <c r="F36" s="9">
        <v>30</v>
      </c>
      <c r="G36" s="9">
        <v>45</v>
      </c>
      <c r="H36" s="9">
        <v>47</v>
      </c>
      <c r="I36" s="9">
        <v>93</v>
      </c>
      <c r="J36" s="9">
        <v>95</v>
      </c>
      <c r="K36" s="9">
        <v>44</v>
      </c>
      <c r="L36" s="9">
        <v>43</v>
      </c>
      <c r="M36" s="9">
        <v>97</v>
      </c>
      <c r="N36" s="9">
        <v>671</v>
      </c>
      <c r="O36" s="7">
        <f t="shared" si="0"/>
        <v>0.67100000000000004</v>
      </c>
      <c r="P36" s="9" t="s">
        <v>16</v>
      </c>
    </row>
    <row r="37" spans="1:16">
      <c r="A37" s="9" t="s">
        <v>233</v>
      </c>
      <c r="B37" s="9" t="s">
        <v>234</v>
      </c>
      <c r="C37" s="9">
        <v>64</v>
      </c>
      <c r="D37" s="9">
        <v>59</v>
      </c>
      <c r="E37" s="9">
        <v>52</v>
      </c>
      <c r="F37" s="9">
        <v>57</v>
      </c>
      <c r="G37" s="9">
        <v>67</v>
      </c>
      <c r="H37" s="9">
        <v>54</v>
      </c>
      <c r="I37" s="9">
        <v>97</v>
      </c>
      <c r="J37" s="9">
        <v>100</v>
      </c>
      <c r="K37" s="9">
        <v>50</v>
      </c>
      <c r="L37" s="9">
        <v>43</v>
      </c>
      <c r="M37" s="9">
        <v>95</v>
      </c>
      <c r="N37" s="9">
        <v>738</v>
      </c>
      <c r="O37" s="7">
        <f t="shared" si="0"/>
        <v>0.73799999999999999</v>
      </c>
      <c r="P37" s="9" t="s">
        <v>161</v>
      </c>
    </row>
    <row r="38" spans="1:16">
      <c r="A38" s="9" t="s">
        <v>235</v>
      </c>
      <c r="B38" s="9" t="s">
        <v>236</v>
      </c>
      <c r="C38" s="9">
        <v>60</v>
      </c>
      <c r="D38" s="9">
        <v>20</v>
      </c>
      <c r="E38" s="9">
        <v>21</v>
      </c>
      <c r="F38" s="9">
        <v>30</v>
      </c>
      <c r="G38" s="9">
        <v>41</v>
      </c>
      <c r="H38" s="9">
        <v>23</v>
      </c>
      <c r="I38" s="9">
        <v>76</v>
      </c>
      <c r="J38" s="9">
        <v>94</v>
      </c>
      <c r="K38" s="9">
        <v>42</v>
      </c>
      <c r="L38" s="9">
        <v>43</v>
      </c>
      <c r="M38" s="9">
        <v>95</v>
      </c>
      <c r="N38" s="9">
        <v>545</v>
      </c>
      <c r="O38" s="7">
        <f t="shared" si="0"/>
        <v>0.54500000000000004</v>
      </c>
      <c r="P38" s="9" t="s">
        <v>39</v>
      </c>
    </row>
    <row r="39" spans="1:16">
      <c r="A39" s="9" t="s">
        <v>237</v>
      </c>
      <c r="B39" s="9" t="s">
        <v>238</v>
      </c>
      <c r="C39" s="9">
        <v>78</v>
      </c>
      <c r="D39" s="9">
        <v>80</v>
      </c>
      <c r="E39" s="9">
        <v>76</v>
      </c>
      <c r="F39" s="9">
        <v>58</v>
      </c>
      <c r="G39" s="9">
        <v>80</v>
      </c>
      <c r="H39" s="9">
        <v>74</v>
      </c>
      <c r="I39" s="9">
        <v>99</v>
      </c>
      <c r="J39" s="9">
        <v>97</v>
      </c>
      <c r="K39" s="9">
        <v>46</v>
      </c>
      <c r="L39" s="9">
        <v>45</v>
      </c>
      <c r="M39" s="9">
        <v>97</v>
      </c>
      <c r="N39" s="9">
        <v>830</v>
      </c>
      <c r="O39" s="7">
        <f t="shared" si="0"/>
        <v>0.83</v>
      </c>
      <c r="P39" s="9" t="s">
        <v>161</v>
      </c>
    </row>
    <row r="40" spans="1:16">
      <c r="A40" s="9" t="s">
        <v>239</v>
      </c>
      <c r="B40" s="9" t="s">
        <v>240</v>
      </c>
      <c r="C40" s="9">
        <v>59</v>
      </c>
      <c r="D40" s="9">
        <v>47</v>
      </c>
      <c r="E40" s="9">
        <v>12</v>
      </c>
      <c r="F40" s="9">
        <v>17</v>
      </c>
      <c r="G40" s="9">
        <v>37</v>
      </c>
      <c r="H40" s="9">
        <v>20</v>
      </c>
      <c r="I40" s="9">
        <v>71</v>
      </c>
      <c r="J40" s="9">
        <v>93</v>
      </c>
      <c r="K40" s="9">
        <v>40</v>
      </c>
      <c r="L40" s="9">
        <v>40</v>
      </c>
      <c r="M40" s="9">
        <v>95</v>
      </c>
      <c r="N40" s="9">
        <v>531</v>
      </c>
      <c r="O40" s="7">
        <f t="shared" si="0"/>
        <v>0.53100000000000003</v>
      </c>
      <c r="P40" s="9" t="s">
        <v>197</v>
      </c>
    </row>
    <row r="41" spans="1:16">
      <c r="A41" s="9" t="s">
        <v>241</v>
      </c>
      <c r="B41" s="9" t="s">
        <v>242</v>
      </c>
      <c r="C41" s="9">
        <v>81</v>
      </c>
      <c r="D41" s="9">
        <v>89</v>
      </c>
      <c r="E41" s="9">
        <v>81</v>
      </c>
      <c r="F41" s="9">
        <v>90</v>
      </c>
      <c r="G41" s="9">
        <v>66</v>
      </c>
      <c r="H41" s="9">
        <v>80</v>
      </c>
      <c r="I41" s="9">
        <v>88</v>
      </c>
      <c r="J41" s="9">
        <v>100</v>
      </c>
      <c r="K41" s="9">
        <v>50</v>
      </c>
      <c r="L41" s="9">
        <v>46</v>
      </c>
      <c r="M41" s="9">
        <v>100</v>
      </c>
      <c r="N41" s="9">
        <v>871</v>
      </c>
      <c r="O41" s="7">
        <f t="shared" si="0"/>
        <v>0.871</v>
      </c>
      <c r="P41" s="9" t="s">
        <v>161</v>
      </c>
    </row>
    <row r="42" spans="1:16">
      <c r="A42" s="9" t="s">
        <v>243</v>
      </c>
      <c r="B42" s="9" t="s">
        <v>244</v>
      </c>
      <c r="C42" s="9">
        <v>67</v>
      </c>
      <c r="D42" s="9">
        <v>66</v>
      </c>
      <c r="E42" s="9">
        <v>81</v>
      </c>
      <c r="F42" s="9">
        <v>68</v>
      </c>
      <c r="G42" s="9">
        <v>51</v>
      </c>
      <c r="H42" s="9">
        <v>62</v>
      </c>
      <c r="I42" s="9">
        <v>89</v>
      </c>
      <c r="J42" s="9">
        <v>99</v>
      </c>
      <c r="K42" s="9">
        <v>48</v>
      </c>
      <c r="L42" s="9">
        <v>40</v>
      </c>
      <c r="M42" s="9">
        <v>95</v>
      </c>
      <c r="N42" s="9">
        <v>766</v>
      </c>
      <c r="O42" s="7">
        <f t="shared" si="0"/>
        <v>0.76600000000000001</v>
      </c>
      <c r="P42" s="9" t="s">
        <v>161</v>
      </c>
    </row>
    <row r="43" spans="1:16">
      <c r="A43" s="9" t="s">
        <v>245</v>
      </c>
      <c r="B43" s="9" t="s">
        <v>246</v>
      </c>
      <c r="C43" s="9">
        <v>68</v>
      </c>
      <c r="D43" s="9">
        <v>45</v>
      </c>
      <c r="E43" s="9">
        <v>61</v>
      </c>
      <c r="F43" s="9">
        <v>47</v>
      </c>
      <c r="G43" s="9">
        <v>68</v>
      </c>
      <c r="H43" s="9">
        <v>47</v>
      </c>
      <c r="I43" s="9">
        <v>81</v>
      </c>
      <c r="J43" s="9">
        <v>94</v>
      </c>
      <c r="K43" s="9">
        <v>46</v>
      </c>
      <c r="L43" s="9">
        <v>43</v>
      </c>
      <c r="M43" s="9">
        <v>97</v>
      </c>
      <c r="N43" s="9">
        <v>697</v>
      </c>
      <c r="O43" s="7">
        <f t="shared" si="0"/>
        <v>0.69699999999999995</v>
      </c>
      <c r="P43" s="9" t="s">
        <v>161</v>
      </c>
    </row>
    <row r="44" spans="1:16">
      <c r="A44" s="9" t="s">
        <v>247</v>
      </c>
      <c r="B44" s="9" t="s">
        <v>248</v>
      </c>
      <c r="C44" s="9">
        <v>82</v>
      </c>
      <c r="D44" s="9">
        <v>82</v>
      </c>
      <c r="E44" s="9">
        <v>78</v>
      </c>
      <c r="F44" s="9">
        <v>87</v>
      </c>
      <c r="G44" s="9">
        <v>75</v>
      </c>
      <c r="H44" s="9">
        <v>58</v>
      </c>
      <c r="I44" s="9">
        <v>88</v>
      </c>
      <c r="J44" s="9">
        <v>95</v>
      </c>
      <c r="K44" s="9">
        <v>50</v>
      </c>
      <c r="L44" s="9">
        <v>42</v>
      </c>
      <c r="M44" s="9">
        <v>95</v>
      </c>
      <c r="N44" s="9">
        <v>832</v>
      </c>
      <c r="O44" s="7">
        <f t="shared" si="0"/>
        <v>0.83199999999999996</v>
      </c>
      <c r="P44" s="9" t="s">
        <v>161</v>
      </c>
    </row>
    <row r="45" spans="1:16">
      <c r="A45" s="9" t="s">
        <v>249</v>
      </c>
      <c r="B45" s="9" t="s">
        <v>250</v>
      </c>
      <c r="C45" s="9">
        <v>65</v>
      </c>
      <c r="D45" s="9">
        <v>80</v>
      </c>
      <c r="E45" s="9">
        <v>59</v>
      </c>
      <c r="F45" s="9">
        <v>43</v>
      </c>
      <c r="G45" s="9">
        <v>66</v>
      </c>
      <c r="H45" s="9">
        <v>78</v>
      </c>
      <c r="I45" s="9">
        <v>83</v>
      </c>
      <c r="J45" s="9">
        <v>94</v>
      </c>
      <c r="K45" s="9">
        <v>44</v>
      </c>
      <c r="L45" s="9">
        <v>44</v>
      </c>
      <c r="M45" s="9">
        <v>97</v>
      </c>
      <c r="N45" s="9">
        <v>753</v>
      </c>
      <c r="O45" s="7">
        <f t="shared" si="0"/>
        <v>0.753</v>
      </c>
      <c r="P45" s="9" t="s">
        <v>161</v>
      </c>
    </row>
    <row r="46" spans="1:16">
      <c r="A46" s="9" t="s">
        <v>251</v>
      </c>
      <c r="B46" s="9" t="s">
        <v>252</v>
      </c>
      <c r="C46" s="9">
        <v>74</v>
      </c>
      <c r="D46" s="9">
        <v>47</v>
      </c>
      <c r="E46" s="9">
        <v>26</v>
      </c>
      <c r="F46" s="9">
        <v>21</v>
      </c>
      <c r="G46" s="9">
        <v>40</v>
      </c>
      <c r="H46" s="9">
        <v>21</v>
      </c>
      <c r="I46" s="9">
        <v>73</v>
      </c>
      <c r="J46" s="9">
        <v>92</v>
      </c>
      <c r="K46" s="9">
        <v>42</v>
      </c>
      <c r="L46" s="9">
        <v>42</v>
      </c>
      <c r="M46" s="9">
        <v>95</v>
      </c>
      <c r="N46" s="9">
        <v>573</v>
      </c>
      <c r="O46" s="7">
        <f t="shared" si="0"/>
        <v>0.57299999999999995</v>
      </c>
      <c r="P46" s="9" t="s">
        <v>197</v>
      </c>
    </row>
    <row r="47" spans="1:16">
      <c r="A47" s="9" t="s">
        <v>253</v>
      </c>
      <c r="B47" s="9" t="s">
        <v>254</v>
      </c>
      <c r="C47" s="9">
        <v>49</v>
      </c>
      <c r="D47" s="9">
        <v>68</v>
      </c>
      <c r="E47" s="9">
        <v>57</v>
      </c>
      <c r="F47" s="9">
        <v>36</v>
      </c>
      <c r="G47" s="9">
        <v>51</v>
      </c>
      <c r="H47" s="9">
        <v>58</v>
      </c>
      <c r="I47" s="9">
        <v>98</v>
      </c>
      <c r="J47" s="9">
        <v>95</v>
      </c>
      <c r="K47" s="9">
        <v>42</v>
      </c>
      <c r="L47" s="9">
        <v>40</v>
      </c>
      <c r="M47" s="9">
        <v>95</v>
      </c>
      <c r="N47" s="9">
        <v>689</v>
      </c>
      <c r="O47" s="7">
        <f t="shared" si="0"/>
        <v>0.68899999999999995</v>
      </c>
      <c r="P47" s="9" t="s">
        <v>16</v>
      </c>
    </row>
    <row r="48" spans="1:16">
      <c r="A48" s="9" t="s">
        <v>255</v>
      </c>
      <c r="B48" s="9" t="s">
        <v>256</v>
      </c>
      <c r="C48" s="9">
        <v>71</v>
      </c>
      <c r="D48" s="9">
        <v>54</v>
      </c>
      <c r="E48" s="9">
        <v>44</v>
      </c>
      <c r="F48" s="9">
        <v>45</v>
      </c>
      <c r="G48" s="9">
        <v>67</v>
      </c>
      <c r="H48" s="9">
        <v>48</v>
      </c>
      <c r="I48" s="9">
        <v>91</v>
      </c>
      <c r="J48" s="9">
        <v>93</v>
      </c>
      <c r="K48" s="9">
        <v>44</v>
      </c>
      <c r="L48" s="9">
        <v>45</v>
      </c>
      <c r="M48" s="9">
        <v>100</v>
      </c>
      <c r="N48" s="9">
        <v>702</v>
      </c>
      <c r="O48" s="7">
        <f t="shared" si="0"/>
        <v>0.70199999999999996</v>
      </c>
      <c r="P48" s="9" t="s">
        <v>161</v>
      </c>
    </row>
    <row r="49" spans="1:16">
      <c r="A49" s="9" t="s">
        <v>257</v>
      </c>
      <c r="B49" s="9" t="s">
        <v>258</v>
      </c>
      <c r="C49" s="9">
        <v>64</v>
      </c>
      <c r="D49" s="9">
        <v>62</v>
      </c>
      <c r="E49" s="9">
        <v>70</v>
      </c>
      <c r="F49" s="9">
        <v>61</v>
      </c>
      <c r="G49" s="9">
        <v>75</v>
      </c>
      <c r="H49" s="9">
        <v>50</v>
      </c>
      <c r="I49" s="9">
        <v>85</v>
      </c>
      <c r="J49" s="9">
        <v>96</v>
      </c>
      <c r="K49" s="9">
        <v>50</v>
      </c>
      <c r="L49" s="9">
        <v>45</v>
      </c>
      <c r="M49" s="9">
        <v>97</v>
      </c>
      <c r="N49" s="9">
        <v>755</v>
      </c>
      <c r="O49" s="7">
        <f t="shared" si="0"/>
        <v>0.755</v>
      </c>
      <c r="P49" s="9" t="s">
        <v>161</v>
      </c>
    </row>
    <row r="50" spans="1:16">
      <c r="A50" s="9" t="s">
        <v>259</v>
      </c>
      <c r="B50" s="9" t="s">
        <v>260</v>
      </c>
      <c r="C50" s="9">
        <v>60</v>
      </c>
      <c r="D50" s="9">
        <v>18</v>
      </c>
      <c r="E50" s="9">
        <v>10</v>
      </c>
      <c r="F50" s="9">
        <v>28</v>
      </c>
      <c r="G50" s="9">
        <v>50</v>
      </c>
      <c r="H50" s="9">
        <v>35</v>
      </c>
      <c r="I50" s="9">
        <v>80</v>
      </c>
      <c r="J50" s="9">
        <v>100</v>
      </c>
      <c r="K50" s="9">
        <v>40</v>
      </c>
      <c r="L50" s="9">
        <v>47</v>
      </c>
      <c r="M50" s="9">
        <v>100</v>
      </c>
      <c r="N50" s="9">
        <v>568</v>
      </c>
      <c r="O50" s="7">
        <f t="shared" si="0"/>
        <v>0.56799999999999995</v>
      </c>
      <c r="P50" s="9" t="s">
        <v>10</v>
      </c>
    </row>
    <row r="51" spans="1:16">
      <c r="A51" s="9" t="s">
        <v>261</v>
      </c>
      <c r="B51" s="9" t="s">
        <v>262</v>
      </c>
      <c r="C51" s="9">
        <v>77</v>
      </c>
      <c r="D51" s="9">
        <v>100</v>
      </c>
      <c r="E51" s="9">
        <v>94</v>
      </c>
      <c r="F51" s="9">
        <v>82</v>
      </c>
      <c r="G51" s="9">
        <v>86</v>
      </c>
      <c r="H51" s="9">
        <v>91</v>
      </c>
      <c r="I51" s="9">
        <v>94</v>
      </c>
      <c r="J51" s="9">
        <v>100</v>
      </c>
      <c r="K51" s="9">
        <v>50</v>
      </c>
      <c r="L51" s="9">
        <v>50</v>
      </c>
      <c r="M51" s="9">
        <v>100</v>
      </c>
      <c r="N51" s="9">
        <v>924</v>
      </c>
      <c r="O51" s="7">
        <f t="shared" si="0"/>
        <v>0.92400000000000004</v>
      </c>
      <c r="P51" s="9" t="s">
        <v>161</v>
      </c>
    </row>
    <row r="52" spans="1:16">
      <c r="A52" s="9" t="s">
        <v>263</v>
      </c>
      <c r="B52" s="9" t="s">
        <v>264</v>
      </c>
      <c r="C52" s="9">
        <v>59</v>
      </c>
      <c r="D52" s="9">
        <v>47</v>
      </c>
      <c r="E52" s="9">
        <v>17</v>
      </c>
      <c r="F52" s="9">
        <v>15</v>
      </c>
      <c r="G52" s="9">
        <v>37</v>
      </c>
      <c r="H52" s="9">
        <v>22</v>
      </c>
      <c r="I52" s="9">
        <v>72</v>
      </c>
      <c r="J52" s="9">
        <v>96</v>
      </c>
      <c r="K52" s="9">
        <v>42</v>
      </c>
      <c r="L52" s="9">
        <v>44</v>
      </c>
      <c r="M52" s="9">
        <v>97</v>
      </c>
      <c r="N52" s="9">
        <v>548</v>
      </c>
      <c r="O52" s="7">
        <f t="shared" si="0"/>
        <v>0.54800000000000004</v>
      </c>
      <c r="P52" s="9" t="s">
        <v>197</v>
      </c>
    </row>
    <row r="53" spans="1:16">
      <c r="A53" s="9" t="s">
        <v>265</v>
      </c>
      <c r="B53" s="9" t="s">
        <v>266</v>
      </c>
      <c r="C53" s="9">
        <v>46</v>
      </c>
      <c r="D53" s="9">
        <v>17</v>
      </c>
      <c r="E53" s="9">
        <v>11</v>
      </c>
      <c r="F53" s="9">
        <v>13</v>
      </c>
      <c r="G53" s="9">
        <v>43</v>
      </c>
      <c r="H53" s="9">
        <v>9</v>
      </c>
      <c r="I53" s="9">
        <v>66</v>
      </c>
      <c r="J53" s="9">
        <v>93</v>
      </c>
      <c r="K53" s="9">
        <v>40</v>
      </c>
      <c r="L53" s="9">
        <v>41</v>
      </c>
      <c r="M53" s="9">
        <v>95</v>
      </c>
      <c r="N53" s="9">
        <v>474</v>
      </c>
      <c r="O53" s="7">
        <f t="shared" si="0"/>
        <v>0.47399999999999998</v>
      </c>
      <c r="P53" s="9" t="s">
        <v>39</v>
      </c>
    </row>
    <row r="54" spans="1:16">
      <c r="A54" s="9" t="s">
        <v>267</v>
      </c>
      <c r="B54" s="9" t="s">
        <v>268</v>
      </c>
      <c r="C54" s="9">
        <v>64</v>
      </c>
      <c r="D54" s="9">
        <v>26</v>
      </c>
      <c r="E54" s="9">
        <v>42</v>
      </c>
      <c r="F54" s="9">
        <v>29</v>
      </c>
      <c r="G54" s="9">
        <v>44</v>
      </c>
      <c r="H54" s="9">
        <v>20</v>
      </c>
      <c r="I54" s="9">
        <v>93</v>
      </c>
      <c r="J54" s="9">
        <v>94</v>
      </c>
      <c r="K54" s="9">
        <v>44</v>
      </c>
      <c r="L54" s="9">
        <v>42</v>
      </c>
      <c r="M54" s="9">
        <v>95</v>
      </c>
      <c r="N54" s="9">
        <v>593</v>
      </c>
      <c r="O54" s="7">
        <f t="shared" si="0"/>
        <v>0.59299999999999997</v>
      </c>
      <c r="P54" s="9" t="s">
        <v>269</v>
      </c>
    </row>
    <row r="55" spans="1:16">
      <c r="A55" s="9" t="s">
        <v>270</v>
      </c>
      <c r="B55" s="9" t="s">
        <v>271</v>
      </c>
      <c r="C55" s="9">
        <v>83</v>
      </c>
      <c r="D55" s="9">
        <v>90</v>
      </c>
      <c r="E55" s="9">
        <v>94</v>
      </c>
      <c r="F55" s="9">
        <v>82</v>
      </c>
      <c r="G55" s="9">
        <v>88</v>
      </c>
      <c r="H55" s="9">
        <v>78</v>
      </c>
      <c r="I55" s="9">
        <v>95</v>
      </c>
      <c r="J55" s="9">
        <v>97</v>
      </c>
      <c r="K55" s="9">
        <v>50</v>
      </c>
      <c r="L55" s="9">
        <v>41</v>
      </c>
      <c r="M55" s="9">
        <v>95</v>
      </c>
      <c r="N55" s="9">
        <v>893</v>
      </c>
      <c r="O55" s="7">
        <f t="shared" si="0"/>
        <v>0.89300000000000002</v>
      </c>
      <c r="P55" s="9" t="s">
        <v>161</v>
      </c>
    </row>
    <row r="56" spans="1:16">
      <c r="A56" s="9" t="s">
        <v>272</v>
      </c>
      <c r="B56" s="9" t="s">
        <v>273</v>
      </c>
      <c r="C56" s="9">
        <v>82</v>
      </c>
      <c r="D56" s="9">
        <v>98</v>
      </c>
      <c r="E56" s="9">
        <v>96</v>
      </c>
      <c r="F56" s="9">
        <v>72</v>
      </c>
      <c r="G56" s="9">
        <v>70</v>
      </c>
      <c r="H56" s="9">
        <v>86</v>
      </c>
      <c r="I56" s="9">
        <v>98</v>
      </c>
      <c r="J56" s="9">
        <v>99</v>
      </c>
      <c r="K56" s="9">
        <v>50</v>
      </c>
      <c r="L56" s="9">
        <v>47</v>
      </c>
      <c r="M56" s="9">
        <v>100</v>
      </c>
      <c r="N56" s="9">
        <v>898</v>
      </c>
      <c r="O56" s="7">
        <f t="shared" si="0"/>
        <v>0.89800000000000002</v>
      </c>
      <c r="P56" s="9" t="s">
        <v>161</v>
      </c>
    </row>
    <row r="57" spans="1:16">
      <c r="A57" s="9" t="s">
        <v>274</v>
      </c>
      <c r="B57" s="9" t="s">
        <v>275</v>
      </c>
      <c r="C57" s="9">
        <v>57</v>
      </c>
      <c r="D57" s="9">
        <v>13</v>
      </c>
      <c r="E57" s="9">
        <v>25</v>
      </c>
      <c r="F57" s="9">
        <v>14</v>
      </c>
      <c r="G57" s="9">
        <v>62</v>
      </c>
      <c r="H57" s="9">
        <v>38</v>
      </c>
      <c r="I57" s="9">
        <v>89</v>
      </c>
      <c r="J57" s="9">
        <v>97</v>
      </c>
      <c r="K57" s="9">
        <v>44</v>
      </c>
      <c r="L57" s="9">
        <v>41</v>
      </c>
      <c r="M57" s="9">
        <v>95</v>
      </c>
      <c r="N57" s="9">
        <v>575</v>
      </c>
      <c r="O57" s="7">
        <f t="shared" si="0"/>
        <v>0.57499999999999996</v>
      </c>
      <c r="P57" s="9" t="s">
        <v>276</v>
      </c>
    </row>
    <row r="58" spans="1:16">
      <c r="A58" s="9" t="s">
        <v>277</v>
      </c>
      <c r="B58" s="9" t="s">
        <v>278</v>
      </c>
      <c r="C58" s="9">
        <v>37</v>
      </c>
      <c r="D58" s="9">
        <v>13</v>
      </c>
      <c r="E58" s="9">
        <v>18</v>
      </c>
      <c r="F58" s="9">
        <v>9</v>
      </c>
      <c r="G58" s="9">
        <v>35</v>
      </c>
      <c r="H58" s="9">
        <v>18</v>
      </c>
      <c r="I58" s="9">
        <v>66</v>
      </c>
      <c r="J58" s="9">
        <v>95</v>
      </c>
      <c r="K58" s="9">
        <v>40</v>
      </c>
      <c r="L58" s="9">
        <v>42</v>
      </c>
      <c r="M58" s="9">
        <v>97</v>
      </c>
      <c r="N58" s="9">
        <v>417</v>
      </c>
      <c r="O58" s="7">
        <f t="shared" si="0"/>
        <v>0.41699999999999998</v>
      </c>
      <c r="P58" s="9" t="s">
        <v>39</v>
      </c>
    </row>
    <row r="59" spans="1:16">
      <c r="A59" s="9" t="s">
        <v>279</v>
      </c>
      <c r="B59" s="9" t="s">
        <v>280</v>
      </c>
      <c r="C59" s="9">
        <v>40</v>
      </c>
      <c r="D59" s="9">
        <v>7</v>
      </c>
      <c r="E59" s="9">
        <v>15</v>
      </c>
      <c r="F59" s="9">
        <v>12</v>
      </c>
      <c r="G59" s="9">
        <v>37</v>
      </c>
      <c r="H59" s="9">
        <v>11</v>
      </c>
      <c r="I59" s="9">
        <v>78</v>
      </c>
      <c r="J59" s="9">
        <v>94</v>
      </c>
      <c r="K59" s="9">
        <v>40</v>
      </c>
      <c r="L59" s="9">
        <v>40</v>
      </c>
      <c r="M59" s="9">
        <v>95</v>
      </c>
      <c r="N59" s="9">
        <v>469</v>
      </c>
      <c r="O59" s="7">
        <f t="shared" si="0"/>
        <v>0.46899999999999997</v>
      </c>
      <c r="P59" s="9" t="s">
        <v>39</v>
      </c>
    </row>
    <row r="60" spans="1:16">
      <c r="A60" s="9" t="s">
        <v>281</v>
      </c>
      <c r="B60" s="9" t="s">
        <v>282</v>
      </c>
      <c r="C60" s="9">
        <v>63</v>
      </c>
      <c r="D60" s="9">
        <v>45</v>
      </c>
      <c r="E60" s="9">
        <v>37</v>
      </c>
      <c r="F60" s="9">
        <v>29</v>
      </c>
      <c r="G60" s="9">
        <v>35</v>
      </c>
      <c r="H60" s="9">
        <v>66</v>
      </c>
      <c r="I60" s="9">
        <v>85</v>
      </c>
      <c r="J60" s="9">
        <v>93</v>
      </c>
      <c r="K60" s="9">
        <v>42</v>
      </c>
      <c r="L60" s="9">
        <v>43</v>
      </c>
      <c r="M60" s="9">
        <v>95</v>
      </c>
      <c r="N60" s="9">
        <v>633</v>
      </c>
      <c r="O60" s="7">
        <f t="shared" si="0"/>
        <v>0.63300000000000001</v>
      </c>
      <c r="P60" s="9" t="s">
        <v>16</v>
      </c>
    </row>
    <row r="61" spans="1:16">
      <c r="A61" s="9" t="s">
        <v>283</v>
      </c>
      <c r="B61" s="9" t="s">
        <v>284</v>
      </c>
      <c r="C61" s="9">
        <v>41</v>
      </c>
      <c r="D61" s="9">
        <v>27</v>
      </c>
      <c r="E61" s="9">
        <v>20</v>
      </c>
      <c r="F61" s="9">
        <v>37</v>
      </c>
      <c r="G61" s="9">
        <v>37</v>
      </c>
      <c r="H61" s="9">
        <v>61</v>
      </c>
      <c r="I61" s="9">
        <v>72</v>
      </c>
      <c r="J61" s="9">
        <v>96</v>
      </c>
      <c r="K61" s="9">
        <v>40</v>
      </c>
      <c r="L61" s="9">
        <v>40</v>
      </c>
      <c r="M61" s="9">
        <v>95</v>
      </c>
      <c r="N61" s="9">
        <v>556</v>
      </c>
      <c r="O61" s="7">
        <f t="shared" si="0"/>
        <v>0.55600000000000005</v>
      </c>
      <c r="P61" s="9" t="s">
        <v>179</v>
      </c>
    </row>
    <row r="62" spans="1:16">
      <c r="A62" s="9" t="s">
        <v>285</v>
      </c>
      <c r="B62" s="9" t="s">
        <v>286</v>
      </c>
      <c r="C62" s="9">
        <v>68</v>
      </c>
      <c r="D62" s="9">
        <v>50</v>
      </c>
      <c r="E62" s="9">
        <v>38</v>
      </c>
      <c r="F62" s="9">
        <v>27</v>
      </c>
      <c r="G62" s="9">
        <v>52</v>
      </c>
      <c r="H62" s="9">
        <v>39</v>
      </c>
      <c r="I62" s="9">
        <v>92</v>
      </c>
      <c r="J62" s="9">
        <v>93</v>
      </c>
      <c r="K62" s="9">
        <v>42</v>
      </c>
      <c r="L62" s="9">
        <v>41</v>
      </c>
      <c r="M62" s="9">
        <v>95</v>
      </c>
      <c r="N62" s="9">
        <v>637</v>
      </c>
      <c r="O62" s="7">
        <f t="shared" si="0"/>
        <v>0.63700000000000001</v>
      </c>
      <c r="P62" s="9" t="s">
        <v>16</v>
      </c>
    </row>
    <row r="63" spans="1:16">
      <c r="A63" s="9" t="s">
        <v>287</v>
      </c>
      <c r="B63" s="9" t="s">
        <v>288</v>
      </c>
      <c r="C63" s="9">
        <v>61</v>
      </c>
      <c r="D63" s="9">
        <v>29</v>
      </c>
      <c r="E63" s="9">
        <v>23</v>
      </c>
      <c r="F63" s="9">
        <v>29</v>
      </c>
      <c r="G63" s="9">
        <v>24</v>
      </c>
      <c r="H63" s="9">
        <v>20</v>
      </c>
      <c r="I63" s="9">
        <v>85</v>
      </c>
      <c r="J63" s="9">
        <v>98</v>
      </c>
      <c r="K63" s="9">
        <v>46</v>
      </c>
      <c r="L63" s="9">
        <v>43</v>
      </c>
      <c r="M63" s="9">
        <v>97</v>
      </c>
      <c r="N63" s="9">
        <v>555</v>
      </c>
      <c r="O63" s="7">
        <f t="shared" si="0"/>
        <v>0.55500000000000005</v>
      </c>
      <c r="P63" s="9" t="s">
        <v>123</v>
      </c>
    </row>
    <row r="64" spans="1:16">
      <c r="A64" s="9" t="s">
        <v>289</v>
      </c>
      <c r="B64" s="9" t="s">
        <v>290</v>
      </c>
      <c r="C64" s="9">
        <v>72</v>
      </c>
      <c r="D64" s="9">
        <v>72</v>
      </c>
      <c r="E64" s="9">
        <v>59</v>
      </c>
      <c r="F64" s="9">
        <v>45</v>
      </c>
      <c r="G64" s="9">
        <v>57</v>
      </c>
      <c r="H64" s="9">
        <v>38</v>
      </c>
      <c r="I64" s="9">
        <v>87</v>
      </c>
      <c r="J64" s="9">
        <v>99</v>
      </c>
      <c r="K64" s="9">
        <v>46</v>
      </c>
      <c r="L64" s="9">
        <v>40</v>
      </c>
      <c r="M64" s="9">
        <v>95</v>
      </c>
      <c r="N64" s="9">
        <v>710</v>
      </c>
      <c r="O64" s="7">
        <f t="shared" si="0"/>
        <v>0.71</v>
      </c>
      <c r="P64" s="9" t="s">
        <v>161</v>
      </c>
    </row>
    <row r="65" spans="1:16">
      <c r="A65" s="9" t="s">
        <v>291</v>
      </c>
      <c r="B65" s="9" t="s">
        <v>292</v>
      </c>
      <c r="C65" s="9">
        <v>73</v>
      </c>
      <c r="D65" s="9">
        <v>94</v>
      </c>
      <c r="E65" s="9">
        <v>79</v>
      </c>
      <c r="F65" s="9">
        <v>69</v>
      </c>
      <c r="G65" s="9">
        <v>83</v>
      </c>
      <c r="H65" s="9">
        <v>56</v>
      </c>
      <c r="I65" s="9">
        <v>84</v>
      </c>
      <c r="J65" s="9">
        <v>98</v>
      </c>
      <c r="K65" s="9">
        <v>50</v>
      </c>
      <c r="L65" s="9">
        <v>44</v>
      </c>
      <c r="M65" s="9">
        <v>100</v>
      </c>
      <c r="N65" s="9">
        <v>830</v>
      </c>
      <c r="O65" s="7">
        <f t="shared" si="0"/>
        <v>0.83</v>
      </c>
      <c r="P65" s="9" t="s">
        <v>161</v>
      </c>
    </row>
    <row r="66" spans="1:16">
      <c r="A66" s="9" t="s">
        <v>293</v>
      </c>
      <c r="B66" s="9" t="s">
        <v>294</v>
      </c>
      <c r="C66" s="9">
        <v>51</v>
      </c>
      <c r="D66" s="9">
        <v>45</v>
      </c>
      <c r="E66" s="9">
        <v>18</v>
      </c>
      <c r="F66" s="9">
        <v>20</v>
      </c>
      <c r="G66" s="9">
        <v>45</v>
      </c>
      <c r="H66" s="9">
        <v>17</v>
      </c>
      <c r="I66" s="9">
        <v>66</v>
      </c>
      <c r="J66" s="9">
        <v>96</v>
      </c>
      <c r="K66" s="9">
        <v>40</v>
      </c>
      <c r="L66" s="9">
        <v>40</v>
      </c>
      <c r="M66" s="9">
        <v>93</v>
      </c>
      <c r="N66" s="9">
        <v>531</v>
      </c>
      <c r="O66" s="7">
        <f t="shared" si="0"/>
        <v>0.53100000000000003</v>
      </c>
      <c r="P66" s="9" t="s">
        <v>197</v>
      </c>
    </row>
    <row r="67" spans="1:16">
      <c r="A67" s="9" t="s">
        <v>295</v>
      </c>
      <c r="B67" s="9" t="s">
        <v>296</v>
      </c>
      <c r="C67" s="9">
        <v>65</v>
      </c>
      <c r="D67" s="9">
        <v>73</v>
      </c>
      <c r="E67" s="9">
        <v>35</v>
      </c>
      <c r="F67" s="9">
        <v>75</v>
      </c>
      <c r="G67" s="9">
        <v>89</v>
      </c>
      <c r="H67" s="9">
        <v>41</v>
      </c>
      <c r="I67" s="9">
        <v>99</v>
      </c>
      <c r="J67" s="9">
        <v>94</v>
      </c>
      <c r="K67" s="9">
        <v>48</v>
      </c>
      <c r="L67" s="9">
        <v>46</v>
      </c>
      <c r="M67" s="9">
        <v>100</v>
      </c>
      <c r="N67" s="9">
        <v>765</v>
      </c>
      <c r="O67" s="7">
        <f t="shared" si="0"/>
        <v>0.76500000000000001</v>
      </c>
      <c r="P67" s="9" t="s">
        <v>65</v>
      </c>
    </row>
    <row r="68" spans="1:16">
      <c r="A68" s="9" t="s">
        <v>297</v>
      </c>
      <c r="B68" s="9" t="s">
        <v>298</v>
      </c>
      <c r="C68" s="9">
        <v>81</v>
      </c>
      <c r="D68" s="9">
        <v>76</v>
      </c>
      <c r="E68" s="9">
        <v>60</v>
      </c>
      <c r="F68" s="9">
        <v>66</v>
      </c>
      <c r="G68" s="9">
        <v>56</v>
      </c>
      <c r="H68" s="9">
        <v>59</v>
      </c>
      <c r="I68" s="9">
        <v>99</v>
      </c>
      <c r="J68" s="9">
        <v>100</v>
      </c>
      <c r="K68" s="9">
        <v>50</v>
      </c>
      <c r="L68" s="9">
        <v>50</v>
      </c>
      <c r="M68" s="9">
        <v>100</v>
      </c>
      <c r="N68" s="9">
        <v>797</v>
      </c>
      <c r="O68" s="7">
        <f t="shared" ref="O68" si="1">(N68/1000)</f>
        <v>0.79700000000000004</v>
      </c>
      <c r="P68" s="9" t="s">
        <v>161</v>
      </c>
    </row>
  </sheetData>
  <mergeCells count="1">
    <mergeCell ref="A1:P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68"/>
  <sheetViews>
    <sheetView workbookViewId="0">
      <selection sqref="A1:P1"/>
    </sheetView>
  </sheetViews>
  <sheetFormatPr defaultRowHeight="15"/>
  <cols>
    <col min="1" max="1" width="15.140625" customWidth="1"/>
    <col min="2" max="2" width="19.140625" customWidth="1"/>
    <col min="16" max="16" width="24.7109375" customWidth="1"/>
  </cols>
  <sheetData>
    <row r="1" spans="1:16">
      <c r="A1" s="15" t="s">
        <v>451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7"/>
    </row>
    <row r="2" spans="1:16">
      <c r="A2" s="12" t="s">
        <v>0</v>
      </c>
      <c r="B2" s="12" t="s">
        <v>156</v>
      </c>
      <c r="C2" s="12">
        <v>101</v>
      </c>
      <c r="D2" s="12">
        <v>102</v>
      </c>
      <c r="E2" s="12">
        <v>103</v>
      </c>
      <c r="F2" s="12">
        <v>104</v>
      </c>
      <c r="G2" s="12">
        <v>105</v>
      </c>
      <c r="H2" s="12">
        <v>106</v>
      </c>
      <c r="I2" s="12">
        <v>107</v>
      </c>
      <c r="J2" s="12">
        <v>108</v>
      </c>
      <c r="K2" s="12">
        <v>109</v>
      </c>
      <c r="L2" s="12">
        <v>110</v>
      </c>
      <c r="M2" s="12">
        <v>111</v>
      </c>
      <c r="N2" s="12" t="s">
        <v>299</v>
      </c>
      <c r="O2" s="12" t="s">
        <v>300</v>
      </c>
      <c r="P2" s="13" t="s">
        <v>2</v>
      </c>
    </row>
    <row r="3" spans="1:16">
      <c r="A3" s="12" t="s">
        <v>301</v>
      </c>
      <c r="B3" s="12" t="s">
        <v>302</v>
      </c>
      <c r="C3" s="10">
        <v>61</v>
      </c>
      <c r="D3" s="10">
        <v>21</v>
      </c>
      <c r="E3" s="10">
        <v>14</v>
      </c>
      <c r="F3" s="10">
        <v>19</v>
      </c>
      <c r="G3" s="10">
        <v>60</v>
      </c>
      <c r="H3" s="10">
        <v>38</v>
      </c>
      <c r="I3" s="10">
        <v>83</v>
      </c>
      <c r="J3" s="10">
        <v>96</v>
      </c>
      <c r="K3" s="10">
        <v>40</v>
      </c>
      <c r="L3" s="10">
        <v>42</v>
      </c>
      <c r="M3" s="10">
        <v>95</v>
      </c>
      <c r="N3" s="10">
        <v>569</v>
      </c>
      <c r="O3" s="14">
        <f>N3/1000</f>
        <v>0.56899999999999995</v>
      </c>
      <c r="P3" s="11" t="s">
        <v>303</v>
      </c>
    </row>
    <row r="4" spans="1:16">
      <c r="A4" s="12" t="s">
        <v>304</v>
      </c>
      <c r="B4" s="12" t="s">
        <v>305</v>
      </c>
      <c r="C4" s="10">
        <v>81</v>
      </c>
      <c r="D4" s="10">
        <v>98</v>
      </c>
      <c r="E4" s="10">
        <v>93</v>
      </c>
      <c r="F4" s="10">
        <v>97</v>
      </c>
      <c r="G4" s="10">
        <v>91</v>
      </c>
      <c r="H4" s="10">
        <v>79</v>
      </c>
      <c r="I4" s="10">
        <v>100</v>
      </c>
      <c r="J4" s="10">
        <v>100</v>
      </c>
      <c r="K4" s="10">
        <v>50</v>
      </c>
      <c r="L4" s="10">
        <v>50</v>
      </c>
      <c r="M4" s="10">
        <v>100</v>
      </c>
      <c r="N4" s="10">
        <v>939</v>
      </c>
      <c r="O4" s="14">
        <f>N4/1000</f>
        <v>0.93899999999999995</v>
      </c>
      <c r="P4" s="11" t="s">
        <v>161</v>
      </c>
    </row>
    <row r="5" spans="1:16">
      <c r="A5" s="12" t="s">
        <v>306</v>
      </c>
      <c r="B5" s="12" t="s">
        <v>307</v>
      </c>
      <c r="C5" s="10">
        <v>60</v>
      </c>
      <c r="D5" s="10">
        <v>77</v>
      </c>
      <c r="E5" s="10">
        <v>62</v>
      </c>
      <c r="F5" s="10">
        <v>91</v>
      </c>
      <c r="G5" s="10">
        <v>67</v>
      </c>
      <c r="H5" s="10">
        <v>65</v>
      </c>
      <c r="I5" s="10">
        <v>98</v>
      </c>
      <c r="J5" s="10">
        <v>99</v>
      </c>
      <c r="K5" s="10">
        <v>48</v>
      </c>
      <c r="L5" s="10">
        <v>48</v>
      </c>
      <c r="M5" s="10">
        <v>100</v>
      </c>
      <c r="N5" s="10">
        <v>815</v>
      </c>
      <c r="O5" s="14">
        <f t="shared" ref="O5:O68" si="0">N5/1000</f>
        <v>0.81499999999999995</v>
      </c>
      <c r="P5" s="11" t="s">
        <v>161</v>
      </c>
    </row>
    <row r="6" spans="1:16">
      <c r="A6" s="12" t="s">
        <v>308</v>
      </c>
      <c r="B6" s="12" t="s">
        <v>309</v>
      </c>
      <c r="C6" s="10">
        <v>45</v>
      </c>
      <c r="D6" s="10">
        <v>48</v>
      </c>
      <c r="E6" s="10">
        <v>47</v>
      </c>
      <c r="F6" s="10">
        <v>68</v>
      </c>
      <c r="G6" s="10">
        <v>25</v>
      </c>
      <c r="H6" s="10">
        <v>39</v>
      </c>
      <c r="I6" s="10">
        <v>79</v>
      </c>
      <c r="J6" s="10">
        <v>89</v>
      </c>
      <c r="K6" s="10">
        <v>40</v>
      </c>
      <c r="L6" s="10">
        <v>47</v>
      </c>
      <c r="M6" s="10">
        <v>100</v>
      </c>
      <c r="N6" s="10">
        <v>627</v>
      </c>
      <c r="O6" s="14">
        <f t="shared" si="0"/>
        <v>0.627</v>
      </c>
      <c r="P6" s="11" t="s">
        <v>310</v>
      </c>
    </row>
    <row r="7" spans="1:16">
      <c r="A7" s="12" t="s">
        <v>311</v>
      </c>
      <c r="B7" s="12" t="s">
        <v>312</v>
      </c>
      <c r="C7" s="10">
        <v>64</v>
      </c>
      <c r="D7" s="10">
        <v>99</v>
      </c>
      <c r="E7" s="10">
        <v>70</v>
      </c>
      <c r="F7" s="10">
        <v>83</v>
      </c>
      <c r="G7" s="10">
        <v>70</v>
      </c>
      <c r="H7" s="10">
        <v>68</v>
      </c>
      <c r="I7" s="10">
        <v>90</v>
      </c>
      <c r="J7" s="10">
        <v>97</v>
      </c>
      <c r="K7" s="10">
        <v>50</v>
      </c>
      <c r="L7" s="10">
        <v>49</v>
      </c>
      <c r="M7" s="10">
        <v>100</v>
      </c>
      <c r="N7" s="10">
        <v>840</v>
      </c>
      <c r="O7" s="14">
        <f t="shared" si="0"/>
        <v>0.84</v>
      </c>
      <c r="P7" s="11" t="s">
        <v>161</v>
      </c>
    </row>
    <row r="8" spans="1:16">
      <c r="A8" s="12" t="s">
        <v>313</v>
      </c>
      <c r="B8" s="12" t="s">
        <v>314</v>
      </c>
      <c r="C8" s="10">
        <v>70</v>
      </c>
      <c r="D8" s="10">
        <v>30</v>
      </c>
      <c r="E8" s="10">
        <v>37</v>
      </c>
      <c r="F8" s="10">
        <v>48</v>
      </c>
      <c r="G8" s="10">
        <v>52</v>
      </c>
      <c r="H8" s="10">
        <v>39</v>
      </c>
      <c r="I8" s="10">
        <v>97</v>
      </c>
      <c r="J8" s="10">
        <v>94</v>
      </c>
      <c r="K8" s="10">
        <v>44</v>
      </c>
      <c r="L8" s="10">
        <v>43</v>
      </c>
      <c r="M8" s="10">
        <v>95</v>
      </c>
      <c r="N8" s="10">
        <v>649</v>
      </c>
      <c r="O8" s="14">
        <f t="shared" si="0"/>
        <v>0.64900000000000002</v>
      </c>
      <c r="P8" s="11" t="s">
        <v>315</v>
      </c>
    </row>
    <row r="9" spans="1:16">
      <c r="A9" s="12" t="s">
        <v>316</v>
      </c>
      <c r="B9" s="12" t="s">
        <v>317</v>
      </c>
      <c r="C9" s="10">
        <v>58</v>
      </c>
      <c r="D9" s="10">
        <v>29</v>
      </c>
      <c r="E9" s="10">
        <v>41</v>
      </c>
      <c r="F9" s="10">
        <v>61</v>
      </c>
      <c r="G9" s="10">
        <v>40</v>
      </c>
      <c r="H9" s="10">
        <v>40</v>
      </c>
      <c r="I9" s="10">
        <v>83</v>
      </c>
      <c r="J9" s="10">
        <v>94</v>
      </c>
      <c r="K9" s="10">
        <v>46</v>
      </c>
      <c r="L9" s="10">
        <v>47</v>
      </c>
      <c r="M9" s="10">
        <v>100</v>
      </c>
      <c r="N9" s="10">
        <v>639</v>
      </c>
      <c r="O9" s="14">
        <f t="shared" si="0"/>
        <v>0.63900000000000001</v>
      </c>
      <c r="P9" s="11" t="s">
        <v>315</v>
      </c>
    </row>
    <row r="10" spans="1:16">
      <c r="A10" s="12" t="s">
        <v>318</v>
      </c>
      <c r="B10" s="12" t="s">
        <v>319</v>
      </c>
      <c r="C10" s="10">
        <v>74</v>
      </c>
      <c r="D10" s="10">
        <v>27</v>
      </c>
      <c r="E10" s="10">
        <v>23</v>
      </c>
      <c r="F10" s="10">
        <v>55</v>
      </c>
      <c r="G10" s="10">
        <v>70</v>
      </c>
      <c r="H10" s="10">
        <v>55</v>
      </c>
      <c r="I10" s="10">
        <v>72</v>
      </c>
      <c r="J10" s="10">
        <v>97</v>
      </c>
      <c r="K10" s="10">
        <v>44</v>
      </c>
      <c r="L10" s="10">
        <v>47</v>
      </c>
      <c r="M10" s="10">
        <v>100</v>
      </c>
      <c r="N10" s="10">
        <v>664</v>
      </c>
      <c r="O10" s="14">
        <f t="shared" si="0"/>
        <v>0.66400000000000003</v>
      </c>
      <c r="P10" s="11" t="s">
        <v>320</v>
      </c>
    </row>
    <row r="11" spans="1:16">
      <c r="A11" s="12" t="s">
        <v>321</v>
      </c>
      <c r="B11" s="12" t="s">
        <v>322</v>
      </c>
      <c r="C11" s="10">
        <v>48</v>
      </c>
      <c r="D11" s="10">
        <v>13</v>
      </c>
      <c r="E11" s="10">
        <v>20</v>
      </c>
      <c r="F11" s="10">
        <v>38</v>
      </c>
      <c r="G11" s="10">
        <v>50</v>
      </c>
      <c r="H11" s="10">
        <v>25</v>
      </c>
      <c r="I11" s="10">
        <v>68</v>
      </c>
      <c r="J11" s="10">
        <v>95</v>
      </c>
      <c r="K11" s="10">
        <v>40</v>
      </c>
      <c r="L11" s="10">
        <v>42</v>
      </c>
      <c r="M11" s="10">
        <v>95</v>
      </c>
      <c r="N11" s="10">
        <v>534</v>
      </c>
      <c r="O11" s="14">
        <f t="shared" si="0"/>
        <v>0.53400000000000003</v>
      </c>
      <c r="P11" s="11" t="s">
        <v>323</v>
      </c>
    </row>
    <row r="12" spans="1:16">
      <c r="A12" s="12" t="s">
        <v>324</v>
      </c>
      <c r="B12" s="12" t="s">
        <v>325</v>
      </c>
      <c r="C12" s="10">
        <v>54</v>
      </c>
      <c r="D12" s="10">
        <v>44</v>
      </c>
      <c r="E12" s="10">
        <v>48</v>
      </c>
      <c r="F12" s="10">
        <v>27</v>
      </c>
      <c r="G12" s="10">
        <v>51</v>
      </c>
      <c r="H12" s="10">
        <v>47</v>
      </c>
      <c r="I12" s="10">
        <v>90</v>
      </c>
      <c r="J12" s="10">
        <v>93</v>
      </c>
      <c r="K12" s="10">
        <v>40</v>
      </c>
      <c r="L12" s="10">
        <v>41</v>
      </c>
      <c r="M12" s="10">
        <v>95</v>
      </c>
      <c r="N12" s="10">
        <v>630</v>
      </c>
      <c r="O12" s="14">
        <f t="shared" si="0"/>
        <v>0.63</v>
      </c>
      <c r="P12" s="11" t="s">
        <v>326</v>
      </c>
    </row>
    <row r="13" spans="1:16">
      <c r="A13" s="12" t="s">
        <v>327</v>
      </c>
      <c r="B13" s="12" t="s">
        <v>328</v>
      </c>
      <c r="C13" s="10">
        <v>64</v>
      </c>
      <c r="D13" s="10">
        <v>43</v>
      </c>
      <c r="E13" s="10">
        <v>50</v>
      </c>
      <c r="F13" s="10">
        <v>50</v>
      </c>
      <c r="G13" s="10">
        <v>49</v>
      </c>
      <c r="H13" s="10">
        <v>62</v>
      </c>
      <c r="I13" s="10">
        <v>100</v>
      </c>
      <c r="J13" s="10">
        <v>98</v>
      </c>
      <c r="K13" s="10">
        <v>50</v>
      </c>
      <c r="L13" s="10">
        <v>50</v>
      </c>
      <c r="M13" s="10">
        <v>100</v>
      </c>
      <c r="N13" s="10">
        <v>716</v>
      </c>
      <c r="O13" s="14">
        <f t="shared" si="0"/>
        <v>0.71599999999999997</v>
      </c>
      <c r="P13" s="11" t="s">
        <v>161</v>
      </c>
    </row>
    <row r="14" spans="1:16">
      <c r="A14" s="12" t="s">
        <v>329</v>
      </c>
      <c r="B14" s="12" t="s">
        <v>330</v>
      </c>
      <c r="C14" s="10">
        <v>58</v>
      </c>
      <c r="D14" s="10">
        <v>66</v>
      </c>
      <c r="E14" s="10">
        <v>42</v>
      </c>
      <c r="F14" s="10">
        <v>46</v>
      </c>
      <c r="G14" s="10">
        <v>58</v>
      </c>
      <c r="H14" s="10">
        <v>43</v>
      </c>
      <c r="I14" s="10">
        <v>98</v>
      </c>
      <c r="J14" s="10">
        <v>96</v>
      </c>
      <c r="K14" s="10">
        <v>46</v>
      </c>
      <c r="L14" s="10">
        <v>44</v>
      </c>
      <c r="M14" s="10">
        <v>97</v>
      </c>
      <c r="N14" s="10">
        <v>694</v>
      </c>
      <c r="O14" s="14">
        <f t="shared" si="0"/>
        <v>0.69399999999999995</v>
      </c>
      <c r="P14" s="11" t="s">
        <v>161</v>
      </c>
    </row>
    <row r="15" spans="1:16">
      <c r="A15" s="12" t="s">
        <v>331</v>
      </c>
      <c r="B15" s="12" t="s">
        <v>332</v>
      </c>
      <c r="C15" s="10">
        <v>71</v>
      </c>
      <c r="D15" s="10">
        <v>58</v>
      </c>
      <c r="E15" s="10">
        <v>42</v>
      </c>
      <c r="F15" s="10">
        <v>65</v>
      </c>
      <c r="G15" s="10">
        <v>70</v>
      </c>
      <c r="H15" s="10">
        <v>57</v>
      </c>
      <c r="I15" s="10">
        <v>97</v>
      </c>
      <c r="J15" s="10">
        <v>98</v>
      </c>
      <c r="K15" s="10">
        <v>46</v>
      </c>
      <c r="L15" s="10">
        <v>45</v>
      </c>
      <c r="M15" s="10">
        <v>97</v>
      </c>
      <c r="N15" s="10">
        <v>746</v>
      </c>
      <c r="O15" s="14">
        <f t="shared" si="0"/>
        <v>0.746</v>
      </c>
      <c r="P15" s="11" t="s">
        <v>161</v>
      </c>
    </row>
    <row r="16" spans="1:16">
      <c r="A16" s="12" t="s">
        <v>333</v>
      </c>
      <c r="B16" s="12" t="s">
        <v>334</v>
      </c>
      <c r="C16" s="10">
        <v>29</v>
      </c>
      <c r="D16" s="10">
        <v>17</v>
      </c>
      <c r="E16" s="10">
        <v>12</v>
      </c>
      <c r="F16" s="10">
        <v>16</v>
      </c>
      <c r="G16" s="10">
        <v>38</v>
      </c>
      <c r="H16" s="10">
        <v>17</v>
      </c>
      <c r="I16" s="10">
        <v>83</v>
      </c>
      <c r="J16" s="10">
        <v>94</v>
      </c>
      <c r="K16" s="10">
        <v>40</v>
      </c>
      <c r="L16" s="10">
        <v>43</v>
      </c>
      <c r="M16" s="10">
        <v>97</v>
      </c>
      <c r="N16" s="10">
        <v>486</v>
      </c>
      <c r="O16" s="14">
        <f t="shared" si="0"/>
        <v>0.48599999999999999</v>
      </c>
      <c r="P16" s="11" t="s">
        <v>335</v>
      </c>
    </row>
    <row r="17" spans="1:16">
      <c r="A17" s="12" t="s">
        <v>336</v>
      </c>
      <c r="B17" s="12" t="s">
        <v>337</v>
      </c>
      <c r="C17" s="10">
        <v>60</v>
      </c>
      <c r="D17" s="10">
        <v>49</v>
      </c>
      <c r="E17" s="10">
        <v>40</v>
      </c>
      <c r="F17" s="10">
        <v>46</v>
      </c>
      <c r="G17" s="10">
        <v>64</v>
      </c>
      <c r="H17" s="10">
        <v>48</v>
      </c>
      <c r="I17" s="10">
        <v>87</v>
      </c>
      <c r="J17" s="10">
        <v>94</v>
      </c>
      <c r="K17" s="10">
        <v>44</v>
      </c>
      <c r="L17" s="10">
        <v>43</v>
      </c>
      <c r="M17" s="10">
        <v>97</v>
      </c>
      <c r="N17" s="10">
        <v>672</v>
      </c>
      <c r="O17" s="14">
        <f t="shared" si="0"/>
        <v>0.67200000000000004</v>
      </c>
      <c r="P17" s="11" t="s">
        <v>161</v>
      </c>
    </row>
    <row r="18" spans="1:16">
      <c r="A18" s="12" t="s">
        <v>338</v>
      </c>
      <c r="B18" s="12" t="s">
        <v>339</v>
      </c>
      <c r="C18" s="10">
        <v>45</v>
      </c>
      <c r="D18" s="10">
        <v>27</v>
      </c>
      <c r="E18" s="10">
        <v>22</v>
      </c>
      <c r="F18" s="10">
        <v>39</v>
      </c>
      <c r="G18" s="10">
        <v>43</v>
      </c>
      <c r="H18" s="10">
        <v>38</v>
      </c>
      <c r="I18" s="10">
        <v>72</v>
      </c>
      <c r="J18" s="10">
        <v>96</v>
      </c>
      <c r="K18" s="10">
        <v>40</v>
      </c>
      <c r="L18" s="10">
        <v>42</v>
      </c>
      <c r="M18" s="10">
        <v>95</v>
      </c>
      <c r="N18" s="10">
        <v>559</v>
      </c>
      <c r="O18" s="14">
        <f t="shared" si="0"/>
        <v>0.55900000000000005</v>
      </c>
      <c r="P18" s="11" t="s">
        <v>320</v>
      </c>
    </row>
    <row r="19" spans="1:16">
      <c r="A19" s="12" t="s">
        <v>340</v>
      </c>
      <c r="B19" s="12" t="s">
        <v>341</v>
      </c>
      <c r="C19" s="10">
        <v>57</v>
      </c>
      <c r="D19" s="10">
        <v>26</v>
      </c>
      <c r="E19" s="10">
        <v>23</v>
      </c>
      <c r="F19" s="10">
        <v>41</v>
      </c>
      <c r="G19" s="10">
        <v>39</v>
      </c>
      <c r="H19" s="10">
        <v>39</v>
      </c>
      <c r="I19" s="10">
        <v>82</v>
      </c>
      <c r="J19" s="10">
        <v>96</v>
      </c>
      <c r="K19" s="10">
        <v>42</v>
      </c>
      <c r="L19" s="10">
        <v>45</v>
      </c>
      <c r="M19" s="10">
        <v>99</v>
      </c>
      <c r="N19" s="10">
        <v>589</v>
      </c>
      <c r="O19" s="14">
        <f t="shared" si="0"/>
        <v>0.58899999999999997</v>
      </c>
      <c r="P19" s="11" t="s">
        <v>320</v>
      </c>
    </row>
    <row r="20" spans="1:16">
      <c r="A20" s="12" t="s">
        <v>342</v>
      </c>
      <c r="B20" s="12" t="s">
        <v>343</v>
      </c>
      <c r="C20" s="10">
        <v>79</v>
      </c>
      <c r="D20" s="10">
        <v>79</v>
      </c>
      <c r="E20" s="10">
        <v>76</v>
      </c>
      <c r="F20" s="10">
        <v>83</v>
      </c>
      <c r="G20" s="10">
        <v>75</v>
      </c>
      <c r="H20" s="10">
        <v>75</v>
      </c>
      <c r="I20" s="10">
        <v>98</v>
      </c>
      <c r="J20" s="10">
        <v>100</v>
      </c>
      <c r="K20" s="10">
        <v>50</v>
      </c>
      <c r="L20" s="10">
        <v>50</v>
      </c>
      <c r="M20" s="10">
        <v>100</v>
      </c>
      <c r="N20" s="10">
        <v>865</v>
      </c>
      <c r="O20" s="14">
        <f t="shared" si="0"/>
        <v>0.86499999999999999</v>
      </c>
      <c r="P20" s="11" t="s">
        <v>161</v>
      </c>
    </row>
    <row r="21" spans="1:16">
      <c r="A21" s="12" t="s">
        <v>344</v>
      </c>
      <c r="B21" s="12" t="s">
        <v>345</v>
      </c>
      <c r="C21" s="10">
        <v>59</v>
      </c>
      <c r="D21" s="10">
        <v>34</v>
      </c>
      <c r="E21" s="10">
        <v>31</v>
      </c>
      <c r="F21" s="10">
        <v>63</v>
      </c>
      <c r="G21" s="10">
        <v>40</v>
      </c>
      <c r="H21" s="10">
        <v>20</v>
      </c>
      <c r="I21" s="10">
        <v>91</v>
      </c>
      <c r="J21" s="10">
        <v>96</v>
      </c>
      <c r="K21" s="10">
        <v>42</v>
      </c>
      <c r="L21" s="10">
        <v>45</v>
      </c>
      <c r="M21" s="10">
        <v>100</v>
      </c>
      <c r="N21" s="10">
        <v>621</v>
      </c>
      <c r="O21" s="14">
        <f t="shared" si="0"/>
        <v>0.621</v>
      </c>
      <c r="P21" s="11" t="s">
        <v>323</v>
      </c>
    </row>
    <row r="22" spans="1:16">
      <c r="A22" s="12" t="s">
        <v>346</v>
      </c>
      <c r="B22" s="12" t="s">
        <v>347</v>
      </c>
      <c r="C22" s="10">
        <v>72</v>
      </c>
      <c r="D22" s="10">
        <v>52</v>
      </c>
      <c r="E22" s="10">
        <v>43</v>
      </c>
      <c r="F22" s="10">
        <v>78</v>
      </c>
      <c r="G22" s="10">
        <v>70</v>
      </c>
      <c r="H22" s="10">
        <v>60</v>
      </c>
      <c r="I22" s="10">
        <v>93</v>
      </c>
      <c r="J22" s="10">
        <v>93</v>
      </c>
      <c r="K22" s="10">
        <v>46</v>
      </c>
      <c r="L22" s="10">
        <v>47</v>
      </c>
      <c r="M22" s="10">
        <v>100</v>
      </c>
      <c r="N22" s="10">
        <v>754</v>
      </c>
      <c r="O22" s="14">
        <f t="shared" si="0"/>
        <v>0.754</v>
      </c>
      <c r="P22" s="11" t="s">
        <v>161</v>
      </c>
    </row>
    <row r="23" spans="1:16">
      <c r="A23" s="12" t="s">
        <v>348</v>
      </c>
      <c r="B23" s="12" t="s">
        <v>349</v>
      </c>
      <c r="C23" s="10">
        <v>66</v>
      </c>
      <c r="D23" s="10">
        <v>28</v>
      </c>
      <c r="E23" s="10">
        <v>36</v>
      </c>
      <c r="F23" s="10">
        <v>15</v>
      </c>
      <c r="G23" s="10">
        <v>43</v>
      </c>
      <c r="H23" s="10">
        <v>36</v>
      </c>
      <c r="I23" s="10">
        <v>78</v>
      </c>
      <c r="J23" s="10">
        <v>91</v>
      </c>
      <c r="K23" s="10">
        <v>44</v>
      </c>
      <c r="L23" s="10">
        <v>46</v>
      </c>
      <c r="M23" s="10">
        <v>99</v>
      </c>
      <c r="N23" s="10">
        <v>582</v>
      </c>
      <c r="O23" s="14">
        <f t="shared" si="0"/>
        <v>0.58199999999999996</v>
      </c>
      <c r="P23" s="11" t="s">
        <v>350</v>
      </c>
    </row>
    <row r="24" spans="1:16">
      <c r="A24" s="12" t="s">
        <v>351</v>
      </c>
      <c r="B24" s="12" t="s">
        <v>352</v>
      </c>
      <c r="C24" s="10">
        <v>72</v>
      </c>
      <c r="D24" s="10">
        <v>66</v>
      </c>
      <c r="E24" s="10">
        <v>37</v>
      </c>
      <c r="F24" s="10">
        <v>61</v>
      </c>
      <c r="G24" s="10">
        <v>51</v>
      </c>
      <c r="H24" s="10">
        <v>42</v>
      </c>
      <c r="I24" s="10">
        <v>89</v>
      </c>
      <c r="J24" s="10">
        <v>99</v>
      </c>
      <c r="K24" s="10">
        <v>50</v>
      </c>
      <c r="L24" s="10">
        <v>50</v>
      </c>
      <c r="M24" s="10">
        <v>100</v>
      </c>
      <c r="N24" s="10">
        <v>717</v>
      </c>
      <c r="O24" s="14">
        <f t="shared" si="0"/>
        <v>0.71699999999999997</v>
      </c>
      <c r="P24" s="11" t="s">
        <v>161</v>
      </c>
    </row>
    <row r="25" spans="1:16">
      <c r="A25" s="12" t="s">
        <v>353</v>
      </c>
      <c r="B25" s="12" t="s">
        <v>354</v>
      </c>
      <c r="C25" s="10">
        <v>75</v>
      </c>
      <c r="D25" s="10">
        <v>88</v>
      </c>
      <c r="E25" s="10">
        <v>56</v>
      </c>
      <c r="F25" s="10">
        <v>66</v>
      </c>
      <c r="G25" s="10">
        <v>72</v>
      </c>
      <c r="H25" s="10">
        <v>54</v>
      </c>
      <c r="I25" s="10">
        <v>86</v>
      </c>
      <c r="J25" s="10">
        <v>100</v>
      </c>
      <c r="K25" s="10">
        <v>50</v>
      </c>
      <c r="L25" s="10">
        <v>50</v>
      </c>
      <c r="M25" s="10">
        <v>100</v>
      </c>
      <c r="N25" s="10">
        <v>797</v>
      </c>
      <c r="O25" s="14">
        <f t="shared" si="0"/>
        <v>0.79700000000000004</v>
      </c>
      <c r="P25" s="11" t="s">
        <v>161</v>
      </c>
    </row>
    <row r="26" spans="1:16">
      <c r="A26" s="12" t="s">
        <v>355</v>
      </c>
      <c r="B26" s="12" t="s">
        <v>356</v>
      </c>
      <c r="C26" s="10">
        <v>73</v>
      </c>
      <c r="D26" s="10">
        <v>50</v>
      </c>
      <c r="E26" s="10">
        <v>57</v>
      </c>
      <c r="F26" s="10">
        <v>63</v>
      </c>
      <c r="G26" s="10">
        <v>72</v>
      </c>
      <c r="H26" s="10">
        <v>65</v>
      </c>
      <c r="I26" s="10">
        <v>81</v>
      </c>
      <c r="J26" s="10">
        <v>96</v>
      </c>
      <c r="K26" s="10">
        <v>46</v>
      </c>
      <c r="L26" s="10">
        <v>46</v>
      </c>
      <c r="M26" s="10">
        <v>99</v>
      </c>
      <c r="N26" s="10">
        <v>748</v>
      </c>
      <c r="O26" s="14">
        <f t="shared" si="0"/>
        <v>0.748</v>
      </c>
      <c r="P26" s="11" t="s">
        <v>161</v>
      </c>
    </row>
    <row r="27" spans="1:16">
      <c r="A27" s="12" t="s">
        <v>357</v>
      </c>
      <c r="B27" s="12" t="s">
        <v>358</v>
      </c>
      <c r="C27" s="10">
        <v>60</v>
      </c>
      <c r="D27" s="10">
        <v>96</v>
      </c>
      <c r="E27" s="10">
        <v>83</v>
      </c>
      <c r="F27" s="10">
        <v>90</v>
      </c>
      <c r="G27" s="10">
        <v>92</v>
      </c>
      <c r="H27" s="10">
        <v>81</v>
      </c>
      <c r="I27" s="10">
        <v>94</v>
      </c>
      <c r="J27" s="10">
        <v>100</v>
      </c>
      <c r="K27" s="10">
        <v>50</v>
      </c>
      <c r="L27" s="10">
        <v>50</v>
      </c>
      <c r="M27" s="10">
        <v>100</v>
      </c>
      <c r="N27" s="10">
        <v>896</v>
      </c>
      <c r="O27" s="14">
        <f t="shared" si="0"/>
        <v>0.89600000000000002</v>
      </c>
      <c r="P27" s="11" t="s">
        <v>161</v>
      </c>
    </row>
    <row r="28" spans="1:16">
      <c r="A28" s="12" t="s">
        <v>359</v>
      </c>
      <c r="B28" s="12" t="s">
        <v>360</v>
      </c>
      <c r="C28" s="10">
        <v>71</v>
      </c>
      <c r="D28" s="10">
        <v>13</v>
      </c>
      <c r="E28" s="10">
        <v>12</v>
      </c>
      <c r="F28" s="10">
        <v>38</v>
      </c>
      <c r="G28" s="10">
        <v>75</v>
      </c>
      <c r="H28" s="10">
        <v>41</v>
      </c>
      <c r="I28" s="10">
        <v>71</v>
      </c>
      <c r="J28" s="10">
        <v>100</v>
      </c>
      <c r="K28" s="10">
        <v>44</v>
      </c>
      <c r="L28" s="10">
        <v>44</v>
      </c>
      <c r="M28" s="10">
        <v>97</v>
      </c>
      <c r="N28" s="10">
        <v>606</v>
      </c>
      <c r="O28" s="14">
        <f t="shared" si="0"/>
        <v>0.60599999999999998</v>
      </c>
      <c r="P28" s="11" t="s">
        <v>320</v>
      </c>
    </row>
    <row r="29" spans="1:16">
      <c r="A29" s="12" t="s">
        <v>361</v>
      </c>
      <c r="B29" s="12" t="s">
        <v>362</v>
      </c>
      <c r="C29" s="10">
        <v>76</v>
      </c>
      <c r="D29" s="10">
        <v>100</v>
      </c>
      <c r="E29" s="10">
        <v>84</v>
      </c>
      <c r="F29" s="10">
        <v>75</v>
      </c>
      <c r="G29" s="10">
        <v>78</v>
      </c>
      <c r="H29" s="10">
        <v>74</v>
      </c>
      <c r="I29" s="10">
        <v>96</v>
      </c>
      <c r="J29" s="10">
        <v>98</v>
      </c>
      <c r="K29" s="10">
        <v>50</v>
      </c>
      <c r="L29" s="10">
        <v>48</v>
      </c>
      <c r="M29" s="10">
        <v>99</v>
      </c>
      <c r="N29" s="10">
        <v>878</v>
      </c>
      <c r="O29" s="14">
        <f t="shared" si="0"/>
        <v>0.878</v>
      </c>
      <c r="P29" s="11" t="s">
        <v>161</v>
      </c>
    </row>
    <row r="30" spans="1:16">
      <c r="A30" s="12" t="s">
        <v>363</v>
      </c>
      <c r="B30" s="12" t="s">
        <v>364</v>
      </c>
      <c r="C30" s="10">
        <v>58</v>
      </c>
      <c r="D30" s="10">
        <v>20</v>
      </c>
      <c r="E30" s="10">
        <v>11</v>
      </c>
      <c r="F30" s="10">
        <v>14</v>
      </c>
      <c r="G30" s="10">
        <v>40</v>
      </c>
      <c r="H30" s="10">
        <v>20</v>
      </c>
      <c r="I30" s="10">
        <v>78</v>
      </c>
      <c r="J30" s="10">
        <v>95</v>
      </c>
      <c r="K30" s="10">
        <v>42</v>
      </c>
      <c r="L30" s="10">
        <v>44</v>
      </c>
      <c r="M30" s="10">
        <v>99</v>
      </c>
      <c r="N30" s="10">
        <v>521</v>
      </c>
      <c r="O30" s="14">
        <f t="shared" si="0"/>
        <v>0.52100000000000002</v>
      </c>
      <c r="P30" s="11" t="s">
        <v>365</v>
      </c>
    </row>
    <row r="31" spans="1:16">
      <c r="A31" s="12" t="s">
        <v>366</v>
      </c>
      <c r="B31" s="12" t="s">
        <v>367</v>
      </c>
      <c r="C31" s="10">
        <v>37</v>
      </c>
      <c r="D31" s="10">
        <v>33</v>
      </c>
      <c r="E31" s="10">
        <v>9</v>
      </c>
      <c r="F31" s="10">
        <v>10</v>
      </c>
      <c r="G31" s="10">
        <v>43</v>
      </c>
      <c r="H31" s="10">
        <v>56</v>
      </c>
      <c r="I31" s="10">
        <v>81</v>
      </c>
      <c r="J31" s="10">
        <v>94</v>
      </c>
      <c r="K31" s="10">
        <v>40</v>
      </c>
      <c r="L31" s="10">
        <v>42</v>
      </c>
      <c r="M31" s="10">
        <v>97</v>
      </c>
      <c r="N31" s="10">
        <v>542</v>
      </c>
      <c r="O31" s="14">
        <f t="shared" si="0"/>
        <v>0.54200000000000004</v>
      </c>
      <c r="P31" s="11" t="s">
        <v>368</v>
      </c>
    </row>
    <row r="32" spans="1:16">
      <c r="A32" s="12" t="s">
        <v>369</v>
      </c>
      <c r="B32" s="12" t="s">
        <v>370</v>
      </c>
      <c r="C32" s="10">
        <v>15</v>
      </c>
      <c r="D32" s="10">
        <v>8</v>
      </c>
      <c r="E32" s="10">
        <v>7</v>
      </c>
      <c r="F32" s="10">
        <v>7</v>
      </c>
      <c r="G32" s="10">
        <v>10</v>
      </c>
      <c r="H32" s="10">
        <v>9</v>
      </c>
      <c r="I32" s="10">
        <v>42</v>
      </c>
      <c r="J32" s="10">
        <v>92</v>
      </c>
      <c r="K32" s="10">
        <v>40</v>
      </c>
      <c r="L32" s="10">
        <v>41</v>
      </c>
      <c r="M32" s="10">
        <v>95</v>
      </c>
      <c r="N32" s="10">
        <v>366</v>
      </c>
      <c r="O32" s="14">
        <f t="shared" si="0"/>
        <v>0.36599999999999999</v>
      </c>
      <c r="P32" s="11" t="s">
        <v>371</v>
      </c>
    </row>
    <row r="33" spans="1:16">
      <c r="A33" s="12" t="s">
        <v>372</v>
      </c>
      <c r="B33" s="12" t="s">
        <v>373</v>
      </c>
      <c r="C33" s="10">
        <v>43</v>
      </c>
      <c r="D33" s="10">
        <v>14</v>
      </c>
      <c r="E33" s="10">
        <v>8</v>
      </c>
      <c r="F33" s="10">
        <v>11</v>
      </c>
      <c r="G33" s="10">
        <v>51</v>
      </c>
      <c r="H33" s="10">
        <v>14</v>
      </c>
      <c r="I33" s="10">
        <v>38</v>
      </c>
      <c r="J33" s="10">
        <v>95</v>
      </c>
      <c r="K33" s="10">
        <v>40</v>
      </c>
      <c r="L33" s="10">
        <v>41</v>
      </c>
      <c r="M33" s="10">
        <v>95</v>
      </c>
      <c r="N33" s="10">
        <v>450</v>
      </c>
      <c r="O33" s="14">
        <f t="shared" si="0"/>
        <v>0.45</v>
      </c>
      <c r="P33" s="11" t="s">
        <v>365</v>
      </c>
    </row>
    <row r="34" spans="1:16">
      <c r="A34" s="12" t="s">
        <v>374</v>
      </c>
      <c r="B34" s="12" t="s">
        <v>375</v>
      </c>
      <c r="C34" s="10">
        <v>63</v>
      </c>
      <c r="D34" s="10">
        <v>87</v>
      </c>
      <c r="E34" s="10">
        <v>62</v>
      </c>
      <c r="F34" s="10">
        <v>73</v>
      </c>
      <c r="G34" s="10">
        <v>92</v>
      </c>
      <c r="H34" s="10">
        <v>70</v>
      </c>
      <c r="I34" s="10">
        <v>90</v>
      </c>
      <c r="J34" s="10">
        <v>100</v>
      </c>
      <c r="K34" s="10">
        <v>48</v>
      </c>
      <c r="L34" s="10">
        <v>48</v>
      </c>
      <c r="M34" s="10">
        <v>99</v>
      </c>
      <c r="N34" s="10">
        <v>832</v>
      </c>
      <c r="O34" s="14">
        <f t="shared" si="0"/>
        <v>0.83199999999999996</v>
      </c>
      <c r="P34" s="11" t="s">
        <v>161</v>
      </c>
    </row>
    <row r="35" spans="1:16">
      <c r="A35" s="12" t="s">
        <v>376</v>
      </c>
      <c r="B35" s="12" t="s">
        <v>377</v>
      </c>
      <c r="C35" s="10">
        <v>51</v>
      </c>
      <c r="D35" s="10">
        <v>20</v>
      </c>
      <c r="E35" s="10">
        <v>41</v>
      </c>
      <c r="F35" s="10">
        <v>41</v>
      </c>
      <c r="G35" s="10">
        <v>56</v>
      </c>
      <c r="H35" s="10">
        <v>42</v>
      </c>
      <c r="I35" s="10">
        <v>84</v>
      </c>
      <c r="J35" s="10">
        <v>97</v>
      </c>
      <c r="K35" s="10">
        <v>50</v>
      </c>
      <c r="L35" s="10">
        <v>47</v>
      </c>
      <c r="M35" s="10">
        <v>100</v>
      </c>
      <c r="N35" s="10">
        <v>629</v>
      </c>
      <c r="O35" s="14">
        <f t="shared" si="0"/>
        <v>0.629</v>
      </c>
      <c r="P35" s="11" t="s">
        <v>315</v>
      </c>
    </row>
    <row r="36" spans="1:16">
      <c r="A36" s="12" t="s">
        <v>378</v>
      </c>
      <c r="B36" s="12" t="s">
        <v>379</v>
      </c>
      <c r="C36" s="10">
        <v>36</v>
      </c>
      <c r="D36" s="10">
        <v>7</v>
      </c>
      <c r="E36" s="10">
        <v>7</v>
      </c>
      <c r="F36" s="10">
        <v>8</v>
      </c>
      <c r="G36" s="10">
        <v>10</v>
      </c>
      <c r="H36" s="10">
        <v>12</v>
      </c>
      <c r="I36" s="10">
        <v>38</v>
      </c>
      <c r="J36" s="10">
        <v>92</v>
      </c>
      <c r="K36" s="10">
        <v>42</v>
      </c>
      <c r="L36" s="10">
        <v>45</v>
      </c>
      <c r="M36" s="10">
        <v>97</v>
      </c>
      <c r="N36" s="10">
        <v>394</v>
      </c>
      <c r="O36" s="14">
        <f t="shared" si="0"/>
        <v>0.39400000000000002</v>
      </c>
      <c r="P36" s="11" t="s">
        <v>380</v>
      </c>
    </row>
    <row r="37" spans="1:16">
      <c r="A37" s="12" t="s">
        <v>381</v>
      </c>
      <c r="B37" s="12" t="s">
        <v>382</v>
      </c>
      <c r="C37" s="10">
        <v>82</v>
      </c>
      <c r="D37" s="10">
        <v>100</v>
      </c>
      <c r="E37" s="10">
        <v>92</v>
      </c>
      <c r="F37" s="10">
        <v>98</v>
      </c>
      <c r="G37" s="10">
        <v>97</v>
      </c>
      <c r="H37" s="10">
        <v>90</v>
      </c>
      <c r="I37" s="10">
        <v>100</v>
      </c>
      <c r="J37" s="10">
        <v>100</v>
      </c>
      <c r="K37" s="10">
        <v>50</v>
      </c>
      <c r="L37" s="10">
        <v>50</v>
      </c>
      <c r="M37" s="10">
        <v>100</v>
      </c>
      <c r="N37" s="10">
        <v>959</v>
      </c>
      <c r="O37" s="14">
        <f t="shared" si="0"/>
        <v>0.95899999999999996</v>
      </c>
      <c r="P37" s="11" t="s">
        <v>161</v>
      </c>
    </row>
    <row r="38" spans="1:16">
      <c r="A38" s="12" t="s">
        <v>383</v>
      </c>
      <c r="B38" s="12" t="s">
        <v>384</v>
      </c>
      <c r="C38" s="10">
        <v>48</v>
      </c>
      <c r="D38" s="10">
        <v>27</v>
      </c>
      <c r="E38" s="10">
        <v>25</v>
      </c>
      <c r="F38" s="10">
        <v>51</v>
      </c>
      <c r="G38" s="10">
        <v>44</v>
      </c>
      <c r="H38" s="10">
        <v>42</v>
      </c>
      <c r="I38" s="10">
        <v>71</v>
      </c>
      <c r="J38" s="10">
        <v>96</v>
      </c>
      <c r="K38" s="10">
        <v>46</v>
      </c>
      <c r="L38" s="10">
        <v>46</v>
      </c>
      <c r="M38" s="10">
        <v>99</v>
      </c>
      <c r="N38" s="10">
        <v>595</v>
      </c>
      <c r="O38" s="14">
        <f t="shared" si="0"/>
        <v>0.59499999999999997</v>
      </c>
      <c r="P38" s="11" t="s">
        <v>320</v>
      </c>
    </row>
    <row r="39" spans="1:16">
      <c r="A39" s="12" t="s">
        <v>385</v>
      </c>
      <c r="B39" s="12" t="s">
        <v>386</v>
      </c>
      <c r="C39" s="10">
        <v>52</v>
      </c>
      <c r="D39" s="10">
        <v>36</v>
      </c>
      <c r="E39" s="10">
        <v>14</v>
      </c>
      <c r="F39" s="10">
        <v>25</v>
      </c>
      <c r="G39" s="10">
        <v>28</v>
      </c>
      <c r="H39" s="10">
        <v>37</v>
      </c>
      <c r="I39" s="10">
        <v>97</v>
      </c>
      <c r="J39" s="10">
        <v>98</v>
      </c>
      <c r="K39" s="10">
        <v>42</v>
      </c>
      <c r="L39" s="10">
        <v>43</v>
      </c>
      <c r="M39" s="10">
        <v>97</v>
      </c>
      <c r="N39" s="10">
        <v>569</v>
      </c>
      <c r="O39" s="14">
        <f t="shared" si="0"/>
        <v>0.56899999999999995</v>
      </c>
      <c r="P39" s="11" t="s">
        <v>387</v>
      </c>
    </row>
    <row r="40" spans="1:16">
      <c r="A40" s="12" t="s">
        <v>388</v>
      </c>
      <c r="B40" s="12" t="s">
        <v>389</v>
      </c>
      <c r="C40" s="10">
        <v>58</v>
      </c>
      <c r="D40" s="10">
        <v>55</v>
      </c>
      <c r="E40" s="10">
        <v>46</v>
      </c>
      <c r="F40" s="10">
        <v>54</v>
      </c>
      <c r="G40" s="10">
        <v>55</v>
      </c>
      <c r="H40" s="10">
        <v>54</v>
      </c>
      <c r="I40" s="10">
        <v>98</v>
      </c>
      <c r="J40" s="10">
        <v>98</v>
      </c>
      <c r="K40" s="10">
        <v>44</v>
      </c>
      <c r="L40" s="10">
        <v>44</v>
      </c>
      <c r="M40" s="10">
        <v>99</v>
      </c>
      <c r="N40" s="10">
        <v>705</v>
      </c>
      <c r="O40" s="14">
        <f t="shared" si="0"/>
        <v>0.70499999999999996</v>
      </c>
      <c r="P40" s="11" t="s">
        <v>161</v>
      </c>
    </row>
    <row r="41" spans="1:16">
      <c r="A41" s="12" t="s">
        <v>390</v>
      </c>
      <c r="B41" s="12" t="s">
        <v>391</v>
      </c>
      <c r="C41" s="10">
        <v>74</v>
      </c>
      <c r="D41" s="10">
        <v>95</v>
      </c>
      <c r="E41" s="10">
        <v>68</v>
      </c>
      <c r="F41" s="10">
        <v>76</v>
      </c>
      <c r="G41" s="10">
        <v>78</v>
      </c>
      <c r="H41" s="10">
        <v>70</v>
      </c>
      <c r="I41" s="10">
        <v>100</v>
      </c>
      <c r="J41" s="10">
        <v>98</v>
      </c>
      <c r="K41" s="10">
        <v>50</v>
      </c>
      <c r="L41" s="10">
        <v>50</v>
      </c>
      <c r="M41" s="10">
        <v>100</v>
      </c>
      <c r="N41" s="10">
        <v>859</v>
      </c>
      <c r="O41" s="14">
        <f t="shared" si="0"/>
        <v>0.85899999999999999</v>
      </c>
      <c r="P41" s="11" t="s">
        <v>161</v>
      </c>
    </row>
    <row r="42" spans="1:16">
      <c r="A42" s="12" t="s">
        <v>392</v>
      </c>
      <c r="B42" s="12" t="s">
        <v>393</v>
      </c>
      <c r="C42" s="10">
        <v>59</v>
      </c>
      <c r="D42" s="10">
        <v>53</v>
      </c>
      <c r="E42" s="10">
        <v>42</v>
      </c>
      <c r="F42" s="10">
        <v>66</v>
      </c>
      <c r="G42" s="10">
        <v>59</v>
      </c>
      <c r="H42" s="10">
        <v>57</v>
      </c>
      <c r="I42" s="10">
        <v>99</v>
      </c>
      <c r="J42" s="10">
        <v>99</v>
      </c>
      <c r="K42" s="10">
        <v>48</v>
      </c>
      <c r="L42" s="10">
        <v>47</v>
      </c>
      <c r="M42" s="10">
        <v>100</v>
      </c>
      <c r="N42" s="10">
        <v>729</v>
      </c>
      <c r="O42" s="14">
        <f t="shared" si="0"/>
        <v>0.72899999999999998</v>
      </c>
      <c r="P42" s="11" t="s">
        <v>161</v>
      </c>
    </row>
    <row r="43" spans="1:16">
      <c r="A43" s="12" t="s">
        <v>394</v>
      </c>
      <c r="B43" s="12" t="s">
        <v>395</v>
      </c>
      <c r="C43" s="10">
        <v>58</v>
      </c>
      <c r="D43" s="10">
        <v>55</v>
      </c>
      <c r="E43" s="10">
        <v>20</v>
      </c>
      <c r="F43" s="10">
        <v>40</v>
      </c>
      <c r="G43" s="10">
        <v>51</v>
      </c>
      <c r="H43" s="10">
        <v>57</v>
      </c>
      <c r="I43" s="10">
        <v>74</v>
      </c>
      <c r="J43" s="10">
        <v>96</v>
      </c>
      <c r="K43" s="10">
        <v>42</v>
      </c>
      <c r="L43" s="10">
        <v>44</v>
      </c>
      <c r="M43" s="10">
        <v>97</v>
      </c>
      <c r="N43" s="10">
        <v>634</v>
      </c>
      <c r="O43" s="14">
        <f t="shared" si="0"/>
        <v>0.63400000000000001</v>
      </c>
      <c r="P43" s="11" t="s">
        <v>396</v>
      </c>
    </row>
    <row r="44" spans="1:16">
      <c r="A44" s="12" t="s">
        <v>397</v>
      </c>
      <c r="B44" s="12" t="s">
        <v>398</v>
      </c>
      <c r="C44" s="10">
        <v>87</v>
      </c>
      <c r="D44" s="10">
        <v>100</v>
      </c>
      <c r="E44" s="10">
        <v>80</v>
      </c>
      <c r="F44" s="10">
        <v>84</v>
      </c>
      <c r="G44" s="10">
        <v>78</v>
      </c>
      <c r="H44" s="10">
        <v>94</v>
      </c>
      <c r="I44" s="10">
        <v>94</v>
      </c>
      <c r="J44" s="10">
        <v>100</v>
      </c>
      <c r="K44" s="10">
        <v>50</v>
      </c>
      <c r="L44" s="10">
        <v>50</v>
      </c>
      <c r="M44" s="10">
        <v>100</v>
      </c>
      <c r="N44" s="10">
        <v>917</v>
      </c>
      <c r="O44" s="14">
        <f t="shared" si="0"/>
        <v>0.91700000000000004</v>
      </c>
      <c r="P44" s="11" t="s">
        <v>161</v>
      </c>
    </row>
    <row r="45" spans="1:16">
      <c r="A45" s="12" t="s">
        <v>399</v>
      </c>
      <c r="B45" s="12" t="s">
        <v>400</v>
      </c>
      <c r="C45" s="10">
        <v>68</v>
      </c>
      <c r="D45" s="10">
        <v>27</v>
      </c>
      <c r="E45" s="10">
        <v>13</v>
      </c>
      <c r="F45" s="10">
        <v>20</v>
      </c>
      <c r="G45" s="10">
        <v>41</v>
      </c>
      <c r="H45" s="10">
        <v>46</v>
      </c>
      <c r="I45" s="10">
        <v>41</v>
      </c>
      <c r="J45" s="10">
        <v>98</v>
      </c>
      <c r="K45" s="10">
        <v>42</v>
      </c>
      <c r="L45" s="10">
        <v>43</v>
      </c>
      <c r="M45" s="10">
        <v>99</v>
      </c>
      <c r="N45" s="10">
        <v>513</v>
      </c>
      <c r="O45" s="14">
        <f t="shared" si="0"/>
        <v>0.51300000000000001</v>
      </c>
      <c r="P45" s="11" t="s">
        <v>401</v>
      </c>
    </row>
    <row r="46" spans="1:16">
      <c r="A46" s="12" t="s">
        <v>402</v>
      </c>
      <c r="B46" s="12" t="s">
        <v>403</v>
      </c>
      <c r="C46" s="10">
        <v>73</v>
      </c>
      <c r="D46" s="10">
        <v>66</v>
      </c>
      <c r="E46" s="10">
        <v>60</v>
      </c>
      <c r="F46" s="10">
        <v>71</v>
      </c>
      <c r="G46" s="10">
        <v>77</v>
      </c>
      <c r="H46" s="10">
        <v>76</v>
      </c>
      <c r="I46" s="10">
        <v>94</v>
      </c>
      <c r="J46" s="10">
        <v>97</v>
      </c>
      <c r="K46" s="10">
        <v>48</v>
      </c>
      <c r="L46" s="10">
        <v>48</v>
      </c>
      <c r="M46" s="10">
        <v>100</v>
      </c>
      <c r="N46" s="10">
        <v>810</v>
      </c>
      <c r="O46" s="14">
        <f t="shared" si="0"/>
        <v>0.81</v>
      </c>
      <c r="P46" s="11" t="s">
        <v>161</v>
      </c>
    </row>
    <row r="47" spans="1:16">
      <c r="A47" s="12" t="s">
        <v>404</v>
      </c>
      <c r="B47" s="12" t="s">
        <v>405</v>
      </c>
      <c r="C47" s="10">
        <v>52</v>
      </c>
      <c r="D47" s="10">
        <v>10</v>
      </c>
      <c r="E47" s="10">
        <v>7</v>
      </c>
      <c r="F47" s="10">
        <v>9</v>
      </c>
      <c r="G47" s="10">
        <v>39</v>
      </c>
      <c r="H47" s="10">
        <v>19</v>
      </c>
      <c r="I47" s="10">
        <v>75</v>
      </c>
      <c r="J47" s="10">
        <v>94</v>
      </c>
      <c r="K47" s="10">
        <v>42</v>
      </c>
      <c r="L47" s="10">
        <v>43</v>
      </c>
      <c r="M47" s="10">
        <v>97</v>
      </c>
      <c r="N47" s="10">
        <v>487</v>
      </c>
      <c r="O47" s="14">
        <f t="shared" si="0"/>
        <v>0.48699999999999999</v>
      </c>
      <c r="P47" s="11" t="s">
        <v>401</v>
      </c>
    </row>
    <row r="48" spans="1:16">
      <c r="A48" s="12" t="s">
        <v>406</v>
      </c>
      <c r="B48" s="12" t="s">
        <v>407</v>
      </c>
      <c r="C48" s="10">
        <v>77</v>
      </c>
      <c r="D48" s="10">
        <v>69</v>
      </c>
      <c r="E48" s="10">
        <v>80</v>
      </c>
      <c r="F48" s="10">
        <v>80</v>
      </c>
      <c r="G48" s="10">
        <v>68</v>
      </c>
      <c r="H48" s="10">
        <v>73</v>
      </c>
      <c r="I48" s="10">
        <v>97</v>
      </c>
      <c r="J48" s="10">
        <v>97</v>
      </c>
      <c r="K48" s="10">
        <v>50</v>
      </c>
      <c r="L48" s="10">
        <v>50</v>
      </c>
      <c r="M48" s="10">
        <v>100</v>
      </c>
      <c r="N48" s="10">
        <v>841</v>
      </c>
      <c r="O48" s="14">
        <f t="shared" si="0"/>
        <v>0.84099999999999997</v>
      </c>
      <c r="P48" s="11" t="s">
        <v>161</v>
      </c>
    </row>
    <row r="49" spans="1:16">
      <c r="A49" s="12" t="s">
        <v>408</v>
      </c>
      <c r="B49" s="12" t="s">
        <v>409</v>
      </c>
      <c r="C49" s="10">
        <v>60</v>
      </c>
      <c r="D49" s="10">
        <v>82</v>
      </c>
      <c r="E49" s="10">
        <v>66</v>
      </c>
      <c r="F49" s="10">
        <v>68</v>
      </c>
      <c r="G49" s="10">
        <v>56</v>
      </c>
      <c r="H49" s="10">
        <v>75</v>
      </c>
      <c r="I49" s="10">
        <v>97</v>
      </c>
      <c r="J49" s="10">
        <v>96</v>
      </c>
      <c r="K49" s="10">
        <v>46</v>
      </c>
      <c r="L49" s="10">
        <v>45</v>
      </c>
      <c r="M49" s="10">
        <v>99</v>
      </c>
      <c r="N49" s="10">
        <v>790</v>
      </c>
      <c r="O49" s="14">
        <f t="shared" si="0"/>
        <v>0.79</v>
      </c>
      <c r="P49" s="11" t="s">
        <v>161</v>
      </c>
    </row>
    <row r="50" spans="1:16">
      <c r="A50" s="12" t="s">
        <v>410</v>
      </c>
      <c r="B50" s="12" t="s">
        <v>411</v>
      </c>
      <c r="C50" s="10">
        <v>48</v>
      </c>
      <c r="D50" s="10">
        <v>7</v>
      </c>
      <c r="E50" s="10">
        <v>15</v>
      </c>
      <c r="F50" s="10">
        <v>7</v>
      </c>
      <c r="G50" s="10">
        <v>16</v>
      </c>
      <c r="H50" s="10">
        <v>19</v>
      </c>
      <c r="I50" s="10">
        <v>66</v>
      </c>
      <c r="J50" s="10">
        <v>92</v>
      </c>
      <c r="K50" s="10">
        <v>40</v>
      </c>
      <c r="L50" s="10">
        <v>43</v>
      </c>
      <c r="M50" s="10">
        <v>95</v>
      </c>
      <c r="N50" s="10">
        <v>448</v>
      </c>
      <c r="O50" s="14">
        <f t="shared" si="0"/>
        <v>0.44800000000000001</v>
      </c>
      <c r="P50" s="11" t="s">
        <v>412</v>
      </c>
    </row>
    <row r="51" spans="1:16">
      <c r="A51" s="12" t="s">
        <v>413</v>
      </c>
      <c r="B51" s="12" t="s">
        <v>414</v>
      </c>
      <c r="C51" s="10">
        <v>62</v>
      </c>
      <c r="D51" s="10">
        <v>88</v>
      </c>
      <c r="E51" s="10">
        <v>82</v>
      </c>
      <c r="F51" s="10">
        <v>81</v>
      </c>
      <c r="G51" s="10">
        <v>78</v>
      </c>
      <c r="H51" s="10">
        <v>85</v>
      </c>
      <c r="I51" s="10">
        <v>95</v>
      </c>
      <c r="J51" s="10">
        <v>100</v>
      </c>
      <c r="K51" s="10">
        <v>50</v>
      </c>
      <c r="L51" s="10">
        <v>50</v>
      </c>
      <c r="M51" s="10">
        <v>100</v>
      </c>
      <c r="N51" s="10">
        <v>871</v>
      </c>
      <c r="O51" s="14">
        <f t="shared" si="0"/>
        <v>0.871</v>
      </c>
      <c r="P51" s="11" t="s">
        <v>161</v>
      </c>
    </row>
    <row r="52" spans="1:16">
      <c r="A52" s="12" t="s">
        <v>415</v>
      </c>
      <c r="B52" s="12" t="s">
        <v>416</v>
      </c>
      <c r="C52" s="10">
        <v>78</v>
      </c>
      <c r="D52" s="10">
        <v>80</v>
      </c>
      <c r="E52" s="10">
        <v>74</v>
      </c>
      <c r="F52" s="10">
        <v>85</v>
      </c>
      <c r="G52" s="10">
        <v>95</v>
      </c>
      <c r="H52" s="10">
        <v>73</v>
      </c>
      <c r="I52" s="10">
        <v>99</v>
      </c>
      <c r="J52" s="10">
        <v>100</v>
      </c>
      <c r="K52" s="10">
        <v>48</v>
      </c>
      <c r="L52" s="10">
        <v>48</v>
      </c>
      <c r="M52" s="10">
        <v>100</v>
      </c>
      <c r="N52" s="10">
        <v>880</v>
      </c>
      <c r="O52" s="14">
        <f t="shared" si="0"/>
        <v>0.88</v>
      </c>
      <c r="P52" s="11" t="s">
        <v>161</v>
      </c>
    </row>
    <row r="53" spans="1:16">
      <c r="A53" s="12" t="s">
        <v>417</v>
      </c>
      <c r="B53" s="12" t="s">
        <v>418</v>
      </c>
      <c r="C53" s="10">
        <v>36</v>
      </c>
      <c r="D53" s="10">
        <v>12</v>
      </c>
      <c r="E53" s="10">
        <v>16</v>
      </c>
      <c r="F53" s="10">
        <v>38</v>
      </c>
      <c r="G53" s="10">
        <v>36</v>
      </c>
      <c r="H53" s="10">
        <v>23</v>
      </c>
      <c r="I53" s="10">
        <v>87</v>
      </c>
      <c r="J53" s="10">
        <v>100</v>
      </c>
      <c r="K53" s="10">
        <v>40</v>
      </c>
      <c r="L53" s="10">
        <v>44</v>
      </c>
      <c r="M53" s="10">
        <v>99</v>
      </c>
      <c r="N53" s="10">
        <v>531</v>
      </c>
      <c r="O53" s="14">
        <f t="shared" si="0"/>
        <v>0.53100000000000003</v>
      </c>
      <c r="P53" s="11" t="s">
        <v>323</v>
      </c>
    </row>
    <row r="54" spans="1:16">
      <c r="A54" s="12" t="s">
        <v>419</v>
      </c>
      <c r="B54" s="12" t="s">
        <v>420</v>
      </c>
      <c r="C54" s="10">
        <v>54</v>
      </c>
      <c r="D54" s="10">
        <v>28</v>
      </c>
      <c r="E54" s="10">
        <v>22</v>
      </c>
      <c r="F54" s="10">
        <v>45</v>
      </c>
      <c r="G54" s="10">
        <v>58</v>
      </c>
      <c r="H54" s="10">
        <v>38</v>
      </c>
      <c r="I54" s="10">
        <v>90</v>
      </c>
      <c r="J54" s="10">
        <v>95</v>
      </c>
      <c r="K54" s="10">
        <v>40</v>
      </c>
      <c r="L54" s="10">
        <v>43</v>
      </c>
      <c r="M54" s="10">
        <v>97</v>
      </c>
      <c r="N54" s="10">
        <v>610</v>
      </c>
      <c r="O54" s="14">
        <f t="shared" si="0"/>
        <v>0.61</v>
      </c>
      <c r="P54" s="11" t="s">
        <v>320</v>
      </c>
    </row>
    <row r="55" spans="1:16">
      <c r="A55" s="12" t="s">
        <v>421</v>
      </c>
      <c r="B55" s="12" t="s">
        <v>422</v>
      </c>
      <c r="C55" s="10">
        <v>46</v>
      </c>
      <c r="D55" s="10">
        <v>10</v>
      </c>
      <c r="E55" s="10">
        <v>8</v>
      </c>
      <c r="F55" s="10">
        <v>21</v>
      </c>
      <c r="G55" s="10">
        <v>35</v>
      </c>
      <c r="H55" s="10">
        <v>9</v>
      </c>
      <c r="I55" s="10">
        <v>76</v>
      </c>
      <c r="J55" s="10">
        <v>93</v>
      </c>
      <c r="K55" s="10">
        <v>42</v>
      </c>
      <c r="L55" s="10">
        <v>41</v>
      </c>
      <c r="M55" s="10">
        <v>95</v>
      </c>
      <c r="N55" s="10">
        <v>476</v>
      </c>
      <c r="O55" s="14">
        <f t="shared" si="0"/>
        <v>0.47599999999999998</v>
      </c>
      <c r="P55" s="11" t="s">
        <v>365</v>
      </c>
    </row>
    <row r="56" spans="1:16">
      <c r="A56" s="12" t="s">
        <v>423</v>
      </c>
      <c r="B56" s="12" t="s">
        <v>424</v>
      </c>
      <c r="C56" s="10">
        <v>53</v>
      </c>
      <c r="D56" s="10">
        <v>15</v>
      </c>
      <c r="E56" s="10">
        <v>12</v>
      </c>
      <c r="F56" s="10">
        <v>25</v>
      </c>
      <c r="G56" s="10">
        <v>37</v>
      </c>
      <c r="H56" s="10">
        <v>20</v>
      </c>
      <c r="I56" s="10">
        <v>89</v>
      </c>
      <c r="J56" s="10">
        <v>94</v>
      </c>
      <c r="K56" s="10">
        <v>40</v>
      </c>
      <c r="L56" s="10">
        <v>43</v>
      </c>
      <c r="M56" s="10">
        <v>97</v>
      </c>
      <c r="N56" s="10">
        <v>525</v>
      </c>
      <c r="O56" s="14">
        <f t="shared" si="0"/>
        <v>0.52500000000000002</v>
      </c>
      <c r="P56" s="11" t="s">
        <v>365</v>
      </c>
    </row>
    <row r="57" spans="1:16">
      <c r="A57" s="12" t="s">
        <v>425</v>
      </c>
      <c r="B57" s="12" t="s">
        <v>426</v>
      </c>
      <c r="C57" s="10">
        <v>44</v>
      </c>
      <c r="D57" s="10">
        <v>45</v>
      </c>
      <c r="E57" s="10">
        <v>13</v>
      </c>
      <c r="F57" s="10">
        <v>24</v>
      </c>
      <c r="G57" s="10">
        <v>37</v>
      </c>
      <c r="H57" s="10">
        <v>13</v>
      </c>
      <c r="I57" s="10">
        <v>88</v>
      </c>
      <c r="J57" s="10">
        <v>93</v>
      </c>
      <c r="K57" s="10">
        <v>40</v>
      </c>
      <c r="L57" s="10">
        <v>44</v>
      </c>
      <c r="M57" s="10">
        <v>99</v>
      </c>
      <c r="N57" s="10">
        <v>540</v>
      </c>
      <c r="O57" s="14">
        <f t="shared" si="0"/>
        <v>0.54</v>
      </c>
      <c r="P57" s="11" t="s">
        <v>427</v>
      </c>
    </row>
    <row r="58" spans="1:16">
      <c r="A58" s="12" t="s">
        <v>428</v>
      </c>
      <c r="B58" s="12" t="s">
        <v>429</v>
      </c>
      <c r="C58" s="10">
        <v>63</v>
      </c>
      <c r="D58" s="10">
        <v>66</v>
      </c>
      <c r="E58" s="10">
        <v>66</v>
      </c>
      <c r="F58" s="10">
        <v>67</v>
      </c>
      <c r="G58" s="10">
        <v>69</v>
      </c>
      <c r="H58" s="10">
        <v>67</v>
      </c>
      <c r="I58" s="10">
        <v>97</v>
      </c>
      <c r="J58" s="10">
        <v>100</v>
      </c>
      <c r="K58" s="10">
        <v>42</v>
      </c>
      <c r="L58" s="10">
        <v>43</v>
      </c>
      <c r="M58" s="10">
        <v>99</v>
      </c>
      <c r="N58" s="10">
        <v>779</v>
      </c>
      <c r="O58" s="14">
        <f t="shared" si="0"/>
        <v>0.77900000000000003</v>
      </c>
      <c r="P58" s="11" t="s">
        <v>161</v>
      </c>
    </row>
    <row r="59" spans="1:16">
      <c r="A59" s="12" t="s">
        <v>430</v>
      </c>
      <c r="B59" s="12" t="s">
        <v>431</v>
      </c>
      <c r="C59" s="10">
        <v>55</v>
      </c>
      <c r="D59" s="10">
        <v>39</v>
      </c>
      <c r="E59" s="10">
        <v>38</v>
      </c>
      <c r="F59" s="10">
        <v>25</v>
      </c>
      <c r="G59" s="10">
        <v>52</v>
      </c>
      <c r="H59" s="10">
        <v>37</v>
      </c>
      <c r="I59" s="10">
        <v>69</v>
      </c>
      <c r="J59" s="10">
        <v>95</v>
      </c>
      <c r="K59" s="10">
        <v>44</v>
      </c>
      <c r="L59" s="10">
        <v>45</v>
      </c>
      <c r="M59" s="10">
        <v>99</v>
      </c>
      <c r="N59" s="10">
        <v>598</v>
      </c>
      <c r="O59" s="14">
        <f t="shared" si="0"/>
        <v>0.59799999999999998</v>
      </c>
      <c r="P59" s="11" t="s">
        <v>326</v>
      </c>
    </row>
    <row r="60" spans="1:16">
      <c r="A60" s="12" t="s">
        <v>432</v>
      </c>
      <c r="B60" s="12" t="s">
        <v>433</v>
      </c>
      <c r="C60" s="10">
        <v>83</v>
      </c>
      <c r="D60" s="10">
        <v>87</v>
      </c>
      <c r="E60" s="10">
        <v>82</v>
      </c>
      <c r="F60" s="10">
        <v>85</v>
      </c>
      <c r="G60" s="10">
        <v>93</v>
      </c>
      <c r="H60" s="10">
        <v>67</v>
      </c>
      <c r="I60" s="10">
        <v>96</v>
      </c>
      <c r="J60" s="10">
        <v>100</v>
      </c>
      <c r="K60" s="10">
        <v>50</v>
      </c>
      <c r="L60" s="10">
        <v>50</v>
      </c>
      <c r="M60" s="10">
        <v>100</v>
      </c>
      <c r="N60" s="10">
        <v>893</v>
      </c>
      <c r="O60" s="14">
        <f t="shared" si="0"/>
        <v>0.89300000000000002</v>
      </c>
      <c r="P60" s="11" t="s">
        <v>161</v>
      </c>
    </row>
    <row r="61" spans="1:16">
      <c r="A61" s="12" t="s">
        <v>434</v>
      </c>
      <c r="B61" s="12" t="s">
        <v>435</v>
      </c>
      <c r="C61" s="10">
        <v>49</v>
      </c>
      <c r="D61" s="10">
        <v>55</v>
      </c>
      <c r="E61" s="10">
        <v>40</v>
      </c>
      <c r="F61" s="10">
        <v>45</v>
      </c>
      <c r="G61" s="10">
        <v>54</v>
      </c>
      <c r="H61" s="10">
        <v>44</v>
      </c>
      <c r="I61" s="10">
        <v>97</v>
      </c>
      <c r="J61" s="10">
        <v>96</v>
      </c>
      <c r="K61" s="10">
        <v>44</v>
      </c>
      <c r="L61" s="10">
        <v>44</v>
      </c>
      <c r="M61" s="10">
        <v>97</v>
      </c>
      <c r="N61" s="10">
        <v>665</v>
      </c>
      <c r="O61" s="14">
        <f t="shared" si="0"/>
        <v>0.66500000000000004</v>
      </c>
      <c r="P61" s="11" t="s">
        <v>161</v>
      </c>
    </row>
    <row r="62" spans="1:16">
      <c r="A62" s="12" t="s">
        <v>436</v>
      </c>
      <c r="B62" s="12" t="s">
        <v>437</v>
      </c>
      <c r="C62" s="10">
        <v>66</v>
      </c>
      <c r="D62" s="10">
        <v>62</v>
      </c>
      <c r="E62" s="10">
        <v>46</v>
      </c>
      <c r="F62" s="10">
        <v>64</v>
      </c>
      <c r="G62" s="10">
        <v>59</v>
      </c>
      <c r="H62" s="10">
        <v>57</v>
      </c>
      <c r="I62" s="10">
        <v>97</v>
      </c>
      <c r="J62" s="10">
        <v>97</v>
      </c>
      <c r="K62" s="10">
        <v>48</v>
      </c>
      <c r="L62" s="10">
        <v>47</v>
      </c>
      <c r="M62" s="10">
        <v>100</v>
      </c>
      <c r="N62" s="10">
        <v>743</v>
      </c>
      <c r="O62" s="14">
        <f t="shared" si="0"/>
        <v>0.74299999999999999</v>
      </c>
      <c r="P62" s="11" t="s">
        <v>161</v>
      </c>
    </row>
    <row r="63" spans="1:16">
      <c r="A63" s="12" t="s">
        <v>438</v>
      </c>
      <c r="B63" s="12" t="s">
        <v>439</v>
      </c>
      <c r="C63" s="10">
        <v>63</v>
      </c>
      <c r="D63" s="10">
        <v>12</v>
      </c>
      <c r="E63" s="10">
        <v>17</v>
      </c>
      <c r="F63" s="10">
        <v>54</v>
      </c>
      <c r="G63" s="10">
        <v>61</v>
      </c>
      <c r="H63" s="10">
        <v>16</v>
      </c>
      <c r="I63" s="10">
        <v>92</v>
      </c>
      <c r="J63" s="10">
        <v>94</v>
      </c>
      <c r="K63" s="10">
        <v>44</v>
      </c>
      <c r="L63" s="10">
        <v>45</v>
      </c>
      <c r="M63" s="10">
        <v>97</v>
      </c>
      <c r="N63" s="10">
        <v>595</v>
      </c>
      <c r="O63" s="14">
        <f t="shared" si="0"/>
        <v>0.59499999999999997</v>
      </c>
      <c r="P63" s="11" t="s">
        <v>323</v>
      </c>
    </row>
    <row r="64" spans="1:16">
      <c r="A64" s="12" t="s">
        <v>440</v>
      </c>
      <c r="B64" s="12" t="s">
        <v>441</v>
      </c>
      <c r="C64" s="10">
        <v>41</v>
      </c>
      <c r="D64" s="10">
        <v>14</v>
      </c>
      <c r="E64" s="10">
        <v>15</v>
      </c>
      <c r="F64" s="10">
        <v>19</v>
      </c>
      <c r="G64" s="10">
        <v>24</v>
      </c>
      <c r="H64" s="10">
        <v>46</v>
      </c>
      <c r="I64" s="10">
        <v>92</v>
      </c>
      <c r="J64" s="10">
        <v>94</v>
      </c>
      <c r="K64" s="10">
        <v>44</v>
      </c>
      <c r="L64" s="10">
        <v>44</v>
      </c>
      <c r="M64" s="10">
        <v>95</v>
      </c>
      <c r="N64" s="10">
        <v>530</v>
      </c>
      <c r="O64" s="14">
        <f t="shared" si="0"/>
        <v>0.53</v>
      </c>
      <c r="P64" s="11" t="s">
        <v>442</v>
      </c>
    </row>
    <row r="65" spans="1:16">
      <c r="A65" s="12" t="s">
        <v>443</v>
      </c>
      <c r="B65" s="12" t="s">
        <v>444</v>
      </c>
      <c r="C65" s="10">
        <v>78</v>
      </c>
      <c r="D65" s="10">
        <v>96</v>
      </c>
      <c r="E65" s="10">
        <v>87</v>
      </c>
      <c r="F65" s="10">
        <v>93</v>
      </c>
      <c r="G65" s="10">
        <v>76</v>
      </c>
      <c r="H65" s="10">
        <v>63</v>
      </c>
      <c r="I65" s="10">
        <v>99</v>
      </c>
      <c r="J65" s="10">
        <v>100</v>
      </c>
      <c r="K65" s="10">
        <v>50</v>
      </c>
      <c r="L65" s="10">
        <v>50</v>
      </c>
      <c r="M65" s="10">
        <v>100</v>
      </c>
      <c r="N65" s="10">
        <v>892</v>
      </c>
      <c r="O65" s="14">
        <f t="shared" si="0"/>
        <v>0.89200000000000002</v>
      </c>
      <c r="P65" s="11" t="s">
        <v>161</v>
      </c>
    </row>
    <row r="66" spans="1:16">
      <c r="A66" s="12" t="s">
        <v>445</v>
      </c>
      <c r="B66" s="12" t="s">
        <v>446</v>
      </c>
      <c r="C66" s="10">
        <v>59</v>
      </c>
      <c r="D66" s="10">
        <v>55</v>
      </c>
      <c r="E66" s="10">
        <v>39</v>
      </c>
      <c r="F66" s="10">
        <v>48</v>
      </c>
      <c r="G66" s="10">
        <v>50</v>
      </c>
      <c r="H66" s="10">
        <v>41</v>
      </c>
      <c r="I66" s="10">
        <v>66</v>
      </c>
      <c r="J66" s="10">
        <v>94</v>
      </c>
      <c r="K66" s="10">
        <v>44</v>
      </c>
      <c r="L66" s="10">
        <v>45</v>
      </c>
      <c r="M66" s="10">
        <v>97</v>
      </c>
      <c r="N66" s="10">
        <v>638</v>
      </c>
      <c r="O66" s="14">
        <f t="shared" si="0"/>
        <v>0.63800000000000001</v>
      </c>
      <c r="P66" s="11" t="s">
        <v>161</v>
      </c>
    </row>
    <row r="67" spans="1:16">
      <c r="A67" s="12" t="s">
        <v>447</v>
      </c>
      <c r="B67" s="12" t="s">
        <v>448</v>
      </c>
      <c r="C67" s="10">
        <v>67</v>
      </c>
      <c r="D67" s="10">
        <v>51</v>
      </c>
      <c r="E67" s="10">
        <v>62</v>
      </c>
      <c r="F67" s="10">
        <v>63</v>
      </c>
      <c r="G67" s="10">
        <v>77</v>
      </c>
      <c r="H67" s="10">
        <v>53</v>
      </c>
      <c r="I67" s="10">
        <v>80</v>
      </c>
      <c r="J67" s="10">
        <v>95</v>
      </c>
      <c r="K67" s="10">
        <v>46</v>
      </c>
      <c r="L67" s="10">
        <v>45</v>
      </c>
      <c r="M67" s="10">
        <v>97</v>
      </c>
      <c r="N67" s="10">
        <v>736</v>
      </c>
      <c r="O67" s="14">
        <f t="shared" si="0"/>
        <v>0.73599999999999999</v>
      </c>
      <c r="P67" s="11" t="s">
        <v>161</v>
      </c>
    </row>
    <row r="68" spans="1:16">
      <c r="A68" s="12" t="s">
        <v>449</v>
      </c>
      <c r="B68" s="12" t="s">
        <v>450</v>
      </c>
      <c r="C68" s="10">
        <v>72</v>
      </c>
      <c r="D68" s="10">
        <v>53</v>
      </c>
      <c r="E68" s="10">
        <v>56</v>
      </c>
      <c r="F68" s="10">
        <v>81</v>
      </c>
      <c r="G68" s="10">
        <v>60</v>
      </c>
      <c r="H68" s="10">
        <v>51</v>
      </c>
      <c r="I68" s="10">
        <v>94</v>
      </c>
      <c r="J68" s="10">
        <v>98</v>
      </c>
      <c r="K68" s="10">
        <v>46</v>
      </c>
      <c r="L68" s="10">
        <v>49</v>
      </c>
      <c r="M68" s="10">
        <v>100</v>
      </c>
      <c r="N68" s="10">
        <v>760</v>
      </c>
      <c r="O68" s="14">
        <f t="shared" si="0"/>
        <v>0.76</v>
      </c>
      <c r="P68" s="11" t="s">
        <v>161</v>
      </c>
    </row>
  </sheetData>
  <mergeCells count="1">
    <mergeCell ref="A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lab2_admin</dc:creator>
  <cp:lastModifiedBy>lab2_admin</cp:lastModifiedBy>
  <dcterms:created xsi:type="dcterms:W3CDTF">2023-07-10T08:48:48Z</dcterms:created>
  <dcterms:modified xsi:type="dcterms:W3CDTF">2023-07-10T08:57:08Z</dcterms:modified>
</cp:coreProperties>
</file>